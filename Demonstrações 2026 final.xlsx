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licers/slicer2.xml" ContentType="application/vnd.ms-excel.slicer+xml"/>
  <Override PartName="/xl/charts/chart24.xml" ContentType="application/vnd.openxmlformats-officedocument.drawingml.chart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victorgaioso/Documents/Gaioso/ANDALUZ/ESTRATÉGICO/Relatórios Estratégicos/2026/Anual/"/>
    </mc:Choice>
  </mc:AlternateContent>
  <xr:revisionPtr revIDLastSave="0" documentId="13_ncr:1_{82A57E97-E2DE-EF46-9548-28B47984212D}" xr6:coauthVersionLast="47" xr6:coauthVersionMax="47" xr10:uidLastSave="{00000000-0000-0000-0000-000000000000}"/>
  <bookViews>
    <workbookView xWindow="-38400" yWindow="1140" windowWidth="37440" windowHeight="18860" tabRatio="500" activeTab="6" xr2:uid="{00000000-000D-0000-FFFF-FFFF00000000}"/>
  </bookViews>
  <sheets>
    <sheet name="CNS" sheetId="17" r:id="rId1"/>
    <sheet name="CRR" sheetId="18" r:id="rId2"/>
    <sheet name="Consolidated" sheetId="19" r:id="rId3"/>
    <sheet name="Caixa" sheetId="7" r:id="rId4"/>
    <sheet name="Orçamento 2026" sheetId="5" r:id="rId5"/>
    <sheet name="Gráficos 2026" sheetId="6" r:id="rId6"/>
    <sheet name="Projeção" sheetId="23" r:id="rId7"/>
    <sheet name="H. Receita" sheetId="8" r:id="rId8"/>
    <sheet name="AuM" sheetId="9" r:id="rId9"/>
    <sheet name="Captação" sheetId="28" r:id="rId10"/>
    <sheet name="Receita" sheetId="14" r:id="rId11"/>
    <sheet name="Gastos" sheetId="15" r:id="rId12"/>
    <sheet name="Institucional" sheetId="21" r:id="rId13"/>
    <sheet name="Outros Ramos" sheetId="16" r:id="rId14"/>
    <sheet name="Sistemas " sheetId="22" r:id="rId15"/>
    <sheet name="Salários YTD" sheetId="26" r:id="rId16"/>
    <sheet name="Salários" sheetId="10" r:id="rId17"/>
    <sheet name="DCF Andlz" sheetId="27" r:id="rId18"/>
  </sheets>
  <externalReferences>
    <externalReference r:id="rId19"/>
    <externalReference r:id="rId20"/>
    <externalReference r:id="rId21"/>
  </externalReferences>
  <definedNames>
    <definedName name="_xlnm._FilterDatabase" localSheetId="10" hidden="1">Receita!$E$14:$F$155</definedName>
    <definedName name="AliqImp">#REF!</definedName>
    <definedName name="Capex">#REF!</definedName>
    <definedName name="CPV">#REF!</definedName>
    <definedName name="Cresc">'[1]Fluxo de Caixa A-1'!$D$13</definedName>
    <definedName name="CtasPagar">#REF!</definedName>
    <definedName name="CtasReceber">#REF!</definedName>
    <definedName name="CxOperac">#REF!</definedName>
    <definedName name="Depreciacao">#REF!</definedName>
    <definedName name="DespGeraisAdm">#REF!</definedName>
    <definedName name="elast">#REF!</definedName>
    <definedName name="Estoque">#REF!</definedName>
    <definedName name="ImpComp">#REF!</definedName>
    <definedName name="ImpPagar">#REF!</definedName>
    <definedName name="InvCGL">#REF!</definedName>
    <definedName name="Objetivos">INDIRECT("Auxiliar_Slides!$C$303:$S$"&amp;305+MAX(COUNTIF([2]Auxiliar_Slides!$F$305:$F$326,"&gt;"&amp;0),COUNTIF([2]Auxiliar_Slides!$R$305:$R$326,"&gt;"&amp;0)))</definedName>
    <definedName name="ppa">#REF!</definedName>
    <definedName name="ReceitaLiquida">#REF!</definedName>
    <definedName name="ResOperac">#REF!</definedName>
    <definedName name="SalEncPagar">#REF!</definedName>
    <definedName name="SegmentaçãodeDados_Centro_de_custos">#N/A</definedName>
    <definedName name="SegmentaçãodeDados_Centro_de_custos1">#N/A</definedName>
    <definedName name="SegmentaçãodeDados_Centro_de_custos2">#N/A</definedName>
    <definedName name="SegmentaçãodeDados_Empresa">#N/A</definedName>
    <definedName name="SegmentaçãodeDados_Empresa1">#N/A</definedName>
    <definedName name="SegmentaçãodeDados_Empresa2">#N/A</definedName>
    <definedName name="WACC">'[1]Fluxo de Caixa A-1'!$D$22</definedName>
    <definedName name="WACCBR">[1]WACC!$C$10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2"/>
        <x14:slicerCache r:id="rId23"/>
        <x14:slicerCache r:id="rId24"/>
        <x14:slicerCache r:id="rId25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2" i="14" l="1"/>
  <c r="J35" i="14"/>
  <c r="J34" i="14"/>
  <c r="J37" i="14"/>
  <c r="J27" i="14"/>
  <c r="J25" i="14"/>
  <c r="J26" i="14"/>
  <c r="J24" i="14"/>
  <c r="J19" i="14"/>
  <c r="J22" i="14"/>
  <c r="J30" i="14"/>
  <c r="J21" i="14"/>
  <c r="J20" i="14"/>
  <c r="J17" i="14"/>
  <c r="J18" i="14"/>
  <c r="J16" i="14"/>
  <c r="J15" i="14"/>
  <c r="J23" i="14"/>
  <c r="J29" i="14"/>
  <c r="J33" i="14"/>
  <c r="J36" i="14"/>
  <c r="AA48" i="14" s="1"/>
  <c r="J38" i="14"/>
  <c r="AA53" i="14" s="1"/>
  <c r="J28" i="14"/>
  <c r="J31" i="14"/>
  <c r="J39" i="14"/>
  <c r="AA34" i="14" s="1"/>
  <c r="J49" i="14"/>
  <c r="J42" i="14"/>
  <c r="J41" i="14"/>
  <c r="J40" i="14"/>
  <c r="J45" i="14"/>
  <c r="J62" i="14"/>
  <c r="J55" i="14"/>
  <c r="J53" i="14"/>
  <c r="J51" i="14"/>
  <c r="J50" i="14"/>
  <c r="J63" i="14"/>
  <c r="J82" i="14"/>
  <c r="J89" i="14"/>
  <c r="J57" i="14"/>
  <c r="J92" i="14"/>
  <c r="J74" i="14"/>
  <c r="J43" i="14"/>
  <c r="J69" i="14"/>
  <c r="J65" i="14"/>
  <c r="J71" i="14"/>
  <c r="J101" i="14"/>
  <c r="J91" i="14"/>
  <c r="AA49" i="14" s="1"/>
  <c r="J66" i="14"/>
  <c r="J75" i="14"/>
  <c r="J87" i="14"/>
  <c r="J94" i="14"/>
  <c r="J83" i="14"/>
  <c r="J79" i="14"/>
  <c r="J86" i="14"/>
  <c r="J99" i="14"/>
  <c r="J78" i="14"/>
  <c r="J95" i="14"/>
  <c r="J110" i="14"/>
  <c r="J122" i="14"/>
  <c r="J127" i="14"/>
  <c r="J93" i="14"/>
  <c r="J103" i="14"/>
  <c r="J136" i="14"/>
  <c r="J111" i="14"/>
  <c r="J129" i="14"/>
  <c r="J134" i="14"/>
  <c r="J48" i="14"/>
  <c r="J70" i="14"/>
  <c r="J140" i="14"/>
  <c r="J135" i="14"/>
  <c r="J88" i="14"/>
  <c r="J131" i="14"/>
  <c r="J115" i="14"/>
  <c r="J142" i="14"/>
  <c r="J67" i="14"/>
  <c r="AA44" i="14" s="1"/>
  <c r="J80" i="14"/>
  <c r="J105" i="14"/>
  <c r="J126" i="14"/>
  <c r="J128" i="14"/>
  <c r="J85" i="14"/>
  <c r="J119" i="14"/>
  <c r="J107" i="14"/>
  <c r="J68" i="14"/>
  <c r="J139" i="14"/>
  <c r="AA52" i="14" s="1"/>
  <c r="J143" i="14"/>
  <c r="J124" i="14"/>
  <c r="J61" i="14"/>
  <c r="J54" i="14"/>
  <c r="J77" i="14"/>
  <c r="J73" i="14"/>
  <c r="AA45" i="14" s="1"/>
  <c r="J84" i="14"/>
  <c r="J97" i="14"/>
  <c r="J100" i="14"/>
  <c r="J76" i="14"/>
  <c r="J90" i="14"/>
  <c r="J130" i="14"/>
  <c r="J112" i="14"/>
  <c r="J132" i="14"/>
  <c r="J108" i="14"/>
  <c r="J138" i="14"/>
  <c r="J123" i="14"/>
  <c r="J114" i="14"/>
  <c r="J113" i="14"/>
  <c r="J52" i="14"/>
  <c r="J60" i="14"/>
  <c r="J106" i="14"/>
  <c r="J137" i="14"/>
  <c r="J98" i="14"/>
  <c r="J118" i="14"/>
  <c r="J121" i="14"/>
  <c r="J133" i="14"/>
  <c r="J96" i="14"/>
  <c r="J141" i="14"/>
  <c r="J104" i="14"/>
  <c r="J109" i="14"/>
  <c r="J116" i="14"/>
  <c r="J102" i="14"/>
  <c r="J117" i="14"/>
  <c r="J125" i="14"/>
  <c r="J120" i="14"/>
  <c r="P144" i="14"/>
  <c r="Q144" i="14"/>
  <c r="S144" i="14"/>
  <c r="T144" i="14"/>
  <c r="U144" i="14"/>
  <c r="V144" i="14"/>
  <c r="W144" i="14"/>
  <c r="R91" i="14"/>
  <c r="O64" i="14"/>
  <c r="N64" i="14"/>
  <c r="M64" i="14"/>
  <c r="L64" i="14"/>
  <c r="J64" i="14" s="1"/>
  <c r="M81" i="14"/>
  <c r="O81" i="14"/>
  <c r="J81" i="14" s="1"/>
  <c r="L81" i="14"/>
  <c r="O56" i="14"/>
  <c r="N56" i="14"/>
  <c r="M56" i="14"/>
  <c r="L56" i="14"/>
  <c r="J56" i="14" s="1"/>
  <c r="O59" i="14"/>
  <c r="N59" i="14"/>
  <c r="M59" i="14"/>
  <c r="J59" i="14" s="1"/>
  <c r="L59" i="14"/>
  <c r="O58" i="14"/>
  <c r="N58" i="14"/>
  <c r="M58" i="14"/>
  <c r="L58" i="14"/>
  <c r="J58" i="14" s="1"/>
  <c r="O44" i="14"/>
  <c r="N44" i="14"/>
  <c r="M44" i="14"/>
  <c r="L44" i="14"/>
  <c r="J44" i="14" s="1"/>
  <c r="O47" i="14"/>
  <c r="N47" i="14"/>
  <c r="M47" i="14"/>
  <c r="L47" i="14"/>
  <c r="O40" i="14"/>
  <c r="N40" i="14"/>
  <c r="M40" i="14"/>
  <c r="L40" i="14"/>
  <c r="O79" i="14"/>
  <c r="N79" i="14"/>
  <c r="O46" i="14"/>
  <c r="N46" i="14"/>
  <c r="M46" i="14"/>
  <c r="L46" i="14"/>
  <c r="J46" i="14" s="1"/>
  <c r="L72" i="14"/>
  <c r="J72" i="14" s="1"/>
  <c r="AA51" i="14" l="1"/>
  <c r="AA36" i="14"/>
  <c r="AA46" i="14"/>
  <c r="AA50" i="14"/>
  <c r="AA40" i="14"/>
  <c r="AA43" i="14"/>
  <c r="AA31" i="14"/>
  <c r="AA33" i="14"/>
  <c r="AA35" i="14"/>
  <c r="AA41" i="14"/>
  <c r="AA37" i="14"/>
  <c r="AA38" i="14"/>
  <c r="AA30" i="14"/>
  <c r="AA42" i="14"/>
  <c r="AA47" i="14"/>
  <c r="AA39" i="14"/>
  <c r="M144" i="14"/>
  <c r="N144" i="14"/>
  <c r="J47" i="14"/>
  <c r="AA32" i="14" s="1"/>
  <c r="O144" i="14"/>
  <c r="L144" i="14"/>
  <c r="R144" i="14"/>
  <c r="R13" i="14" s="1"/>
  <c r="M50" i="15"/>
  <c r="AE15" i="15"/>
  <c r="AE16" i="15"/>
  <c r="AE19" i="15"/>
  <c r="AE20" i="15"/>
  <c r="AE22" i="15"/>
  <c r="AE18" i="15"/>
  <c r="AE17" i="15"/>
  <c r="AE21" i="15"/>
  <c r="N16" i="15"/>
  <c r="J58" i="8"/>
  <c r="M57" i="8"/>
  <c r="M8" i="28"/>
  <c r="K4" i="19"/>
  <c r="J144" i="14" l="1"/>
  <c r="K68" i="14" s="1"/>
  <c r="Y16" i="14" a="1"/>
  <c r="N50" i="15"/>
  <c r="K97" i="14" l="1"/>
  <c r="K78" i="14"/>
  <c r="K88" i="14"/>
  <c r="K57" i="14"/>
  <c r="K75" i="14"/>
  <c r="K30" i="14"/>
  <c r="K83" i="14"/>
  <c r="K116" i="14"/>
  <c r="K121" i="14"/>
  <c r="K54" i="14"/>
  <c r="K90" i="14"/>
  <c r="K85" i="14"/>
  <c r="K109" i="14"/>
  <c r="K69" i="14"/>
  <c r="K110" i="14"/>
  <c r="K63" i="14"/>
  <c r="K81" i="14"/>
  <c r="K61" i="14"/>
  <c r="K107" i="14"/>
  <c r="K143" i="14"/>
  <c r="K141" i="14"/>
  <c r="K137" i="14"/>
  <c r="K124" i="14"/>
  <c r="K25" i="14"/>
  <c r="K92" i="14"/>
  <c r="K91" i="14"/>
  <c r="K22" i="14"/>
  <c r="K120" i="14"/>
  <c r="K123" i="14"/>
  <c r="K29" i="14"/>
  <c r="K93" i="14"/>
  <c r="K108" i="14"/>
  <c r="K94" i="14"/>
  <c r="K67" i="14"/>
  <c r="K59" i="14"/>
  <c r="K103" i="14"/>
  <c r="K135" i="14"/>
  <c r="K56" i="14"/>
  <c r="K77" i="14"/>
  <c r="K44" i="14"/>
  <c r="K126" i="14"/>
  <c r="K99" i="14"/>
  <c r="K26" i="14"/>
  <c r="K47" i="14"/>
  <c r="K105" i="14"/>
  <c r="K20" i="14"/>
  <c r="K115" i="14"/>
  <c r="K76" i="14"/>
  <c r="K65" i="14"/>
  <c r="K142" i="14"/>
  <c r="K106" i="14"/>
  <c r="K119" i="14"/>
  <c r="K84" i="14"/>
  <c r="K96" i="14"/>
  <c r="K104" i="14"/>
  <c r="K37" i="14"/>
  <c r="K73" i="14"/>
  <c r="K66" i="14"/>
  <c r="K55" i="14"/>
  <c r="K71" i="14"/>
  <c r="K138" i="14"/>
  <c r="K125" i="14"/>
  <c r="K70" i="14"/>
  <c r="K18" i="14"/>
  <c r="K39" i="14"/>
  <c r="K128" i="14"/>
  <c r="K16" i="14"/>
  <c r="K113" i="14"/>
  <c r="K42" i="14"/>
  <c r="K140" i="14"/>
  <c r="K80" i="14"/>
  <c r="K21" i="14"/>
  <c r="K50" i="14"/>
  <c r="K43" i="14"/>
  <c r="K48" i="14"/>
  <c r="K131" i="14"/>
  <c r="K86" i="14"/>
  <c r="K51" i="14"/>
  <c r="K112" i="14"/>
  <c r="K87" i="14"/>
  <c r="K95" i="14"/>
  <c r="K24" i="14"/>
  <c r="K34" i="14"/>
  <c r="K136" i="14"/>
  <c r="K38" i="14"/>
  <c r="K60" i="14"/>
  <c r="K15" i="14"/>
  <c r="K49" i="14"/>
  <c r="K31" i="14"/>
  <c r="K130" i="14"/>
  <c r="K100" i="14"/>
  <c r="K129" i="14"/>
  <c r="K19" i="14"/>
  <c r="K72" i="14"/>
  <c r="K89" i="14"/>
  <c r="K23" i="14"/>
  <c r="K82" i="14"/>
  <c r="K53" i="14"/>
  <c r="K74" i="14"/>
  <c r="K98" i="14"/>
  <c r="K102" i="14"/>
  <c r="K111" i="14"/>
  <c r="K17" i="14"/>
  <c r="K52" i="14"/>
  <c r="K62" i="14"/>
  <c r="K36" i="14"/>
  <c r="K127" i="14"/>
  <c r="K117" i="14"/>
  <c r="K33" i="14"/>
  <c r="K79" i="14"/>
  <c r="K40" i="14"/>
  <c r="K35" i="14"/>
  <c r="K27" i="14"/>
  <c r="K46" i="14"/>
  <c r="K28" i="14"/>
  <c r="K134" i="14"/>
  <c r="K133" i="14"/>
  <c r="K58" i="14"/>
  <c r="K132" i="14"/>
  <c r="K118" i="14"/>
  <c r="K122" i="14"/>
  <c r="K139" i="14"/>
  <c r="K64" i="14"/>
  <c r="K45" i="14"/>
  <c r="K114" i="14"/>
  <c r="K41" i="14"/>
  <c r="K101" i="14"/>
  <c r="K32" i="14"/>
  <c r="Z18" i="14"/>
  <c r="Z23" i="14"/>
  <c r="Z20" i="14"/>
  <c r="Y22" i="14"/>
  <c r="Y19" i="14"/>
  <c r="Y24" i="14"/>
  <c r="Y20" i="14"/>
  <c r="Y16" i="14"/>
  <c r="Y21" i="14"/>
  <c r="Y17" i="14"/>
  <c r="Z19" i="14"/>
  <c r="Z24" i="14"/>
  <c r="Z17" i="14"/>
  <c r="Z22" i="14"/>
  <c r="Y18" i="14"/>
  <c r="Y23" i="14"/>
  <c r="Z16" i="14"/>
  <c r="Z21" i="14"/>
  <c r="L8" i="7"/>
  <c r="K26" i="23"/>
  <c r="J57" i="8"/>
  <c r="G28" i="22"/>
  <c r="AC34" i="14"/>
  <c r="AC35" i="14"/>
  <c r="AC33" i="14"/>
  <c r="M102" i="15"/>
  <c r="M16" i="15"/>
  <c r="N102" i="15"/>
  <c r="M35" i="15"/>
  <c r="N35" i="15"/>
  <c r="M91" i="15"/>
  <c r="N91" i="15"/>
  <c r="J4" i="19" l="1"/>
  <c r="L4" i="28"/>
  <c r="L8" i="28"/>
  <c r="I20" i="28"/>
  <c r="J20" i="28"/>
  <c r="K20" i="28"/>
  <c r="H20" i="28"/>
  <c r="I21" i="28"/>
  <c r="I22" i="28" s="1"/>
  <c r="H21" i="28"/>
  <c r="H22" i="28" s="1"/>
  <c r="J21" i="28"/>
  <c r="J22" i="28" s="1"/>
  <c r="K21" i="28"/>
  <c r="K22" i="28" s="1"/>
  <c r="G22" i="28"/>
  <c r="G21" i="28"/>
  <c r="G20" i="28"/>
  <c r="H8" i="28"/>
  <c r="I8" i="28"/>
  <c r="J8" i="28"/>
  <c r="K8" i="28"/>
  <c r="N8" i="28"/>
  <c r="O8" i="28"/>
  <c r="P8" i="28"/>
  <c r="Q8" i="28"/>
  <c r="R8" i="28"/>
  <c r="G8" i="28"/>
  <c r="R4" i="28"/>
  <c r="Q4" i="28"/>
  <c r="P4" i="28"/>
  <c r="O4" i="28"/>
  <c r="N4" i="28"/>
  <c r="N7" i="28" s="1"/>
  <c r="M4" i="28"/>
  <c r="M7" i="28" s="1"/>
  <c r="H7" i="28"/>
  <c r="K7" i="28"/>
  <c r="O7" i="28"/>
  <c r="P7" i="28"/>
  <c r="Q7" i="28"/>
  <c r="R7" i="28"/>
  <c r="G7" i="28"/>
  <c r="H13" i="28"/>
  <c r="I13" i="28"/>
  <c r="J13" i="28"/>
  <c r="K13" i="28"/>
  <c r="L13" i="28"/>
  <c r="M13" i="28"/>
  <c r="N13" i="28"/>
  <c r="O13" i="28"/>
  <c r="P13" i="28"/>
  <c r="Q13" i="28"/>
  <c r="R13" i="28"/>
  <c r="H9" i="28"/>
  <c r="I9" i="28"/>
  <c r="J9" i="28"/>
  <c r="K9" i="28"/>
  <c r="L9" i="28"/>
  <c r="M9" i="28"/>
  <c r="N9" i="28"/>
  <c r="O9" i="28"/>
  <c r="P9" i="28"/>
  <c r="P6" i="28" s="1"/>
  <c r="Q9" i="28"/>
  <c r="R9" i="28"/>
  <c r="N6" i="28"/>
  <c r="O6" i="28"/>
  <c r="R6" i="28"/>
  <c r="K4" i="28"/>
  <c r="J4" i="28"/>
  <c r="J7" i="28" s="1"/>
  <c r="I4" i="28"/>
  <c r="I7" i="28" s="1"/>
  <c r="H4" i="28"/>
  <c r="G4" i="28"/>
  <c r="G13" i="28"/>
  <c r="G9" i="28"/>
  <c r="I1" i="27"/>
  <c r="J1" i="27" s="1"/>
  <c r="B11" i="27" s="1"/>
  <c r="C11" i="27" s="1"/>
  <c r="D11" i="27" s="1"/>
  <c r="E11" i="27" s="1"/>
  <c r="F11" i="27" s="1"/>
  <c r="G14" i="27"/>
  <c r="F14" i="27"/>
  <c r="E14" i="27"/>
  <c r="D14" i="27"/>
  <c r="C14" i="27"/>
  <c r="B14" i="27"/>
  <c r="M6" i="28" l="1"/>
  <c r="L6" i="28"/>
  <c r="K6" i="28"/>
  <c r="J6" i="28"/>
  <c r="I6" i="28"/>
  <c r="H6" i="28"/>
  <c r="G6" i="28"/>
  <c r="Q6" i="28"/>
  <c r="I89" i="9" l="1"/>
  <c r="I88" i="9"/>
  <c r="P86" i="9"/>
  <c r="L86" i="9"/>
  <c r="E55" i="26"/>
  <c r="F55" i="26"/>
  <c r="G55" i="26"/>
  <c r="H55" i="26"/>
  <c r="I55" i="26"/>
  <c r="J55" i="26"/>
  <c r="K55" i="26"/>
  <c r="L55" i="26"/>
  <c r="M55" i="26"/>
  <c r="N55" i="26"/>
  <c r="O55" i="26"/>
  <c r="P55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F54" i="26"/>
  <c r="G54" i="26"/>
  <c r="H54" i="26"/>
  <c r="I54" i="26"/>
  <c r="J54" i="26"/>
  <c r="K54" i="26"/>
  <c r="L54" i="26"/>
  <c r="M54" i="26"/>
  <c r="N54" i="26"/>
  <c r="O54" i="26"/>
  <c r="P54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F49" i="26"/>
  <c r="G49" i="26"/>
  <c r="H49" i="26"/>
  <c r="I49" i="26"/>
  <c r="J49" i="26"/>
  <c r="K49" i="26"/>
  <c r="L49" i="26"/>
  <c r="M49" i="26"/>
  <c r="N49" i="26"/>
  <c r="O49" i="26"/>
  <c r="P49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F40" i="26"/>
  <c r="G40" i="26"/>
  <c r="H40" i="26"/>
  <c r="I40" i="26"/>
  <c r="J40" i="26"/>
  <c r="K40" i="26"/>
  <c r="L40" i="26"/>
  <c r="M40" i="26"/>
  <c r="N40" i="26"/>
  <c r="O40" i="26"/>
  <c r="P40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F32" i="26"/>
  <c r="G32" i="26"/>
  <c r="H32" i="26"/>
  <c r="I32" i="26"/>
  <c r="J32" i="26"/>
  <c r="K32" i="26"/>
  <c r="L32" i="26"/>
  <c r="M32" i="26"/>
  <c r="N32" i="26"/>
  <c r="O32" i="26"/>
  <c r="P32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F24" i="26"/>
  <c r="G24" i="26"/>
  <c r="H24" i="26"/>
  <c r="I24" i="26"/>
  <c r="J24" i="26"/>
  <c r="K24" i="26"/>
  <c r="L24" i="26"/>
  <c r="M24" i="26"/>
  <c r="N24" i="26"/>
  <c r="O24" i="26"/>
  <c r="P24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F15" i="26"/>
  <c r="G15" i="26"/>
  <c r="H15" i="26"/>
  <c r="I15" i="26"/>
  <c r="J15" i="26"/>
  <c r="K15" i="26"/>
  <c r="L15" i="26"/>
  <c r="M15" i="26"/>
  <c r="N15" i="26"/>
  <c r="O15" i="26"/>
  <c r="P15" i="26"/>
  <c r="E54" i="26"/>
  <c r="E49" i="26"/>
  <c r="E40" i="26"/>
  <c r="E32" i="26"/>
  <c r="E24" i="26"/>
  <c r="E15" i="26"/>
  <c r="E8" i="26"/>
  <c r="F8" i="26"/>
  <c r="G8" i="26"/>
  <c r="H8" i="26"/>
  <c r="I8" i="26"/>
  <c r="J8" i="26"/>
  <c r="K8" i="26"/>
  <c r="L8" i="26"/>
  <c r="M8" i="26"/>
  <c r="N8" i="26"/>
  <c r="O8" i="26"/>
  <c r="P8" i="26"/>
  <c r="E9" i="26"/>
  <c r="F9" i="26"/>
  <c r="G9" i="26"/>
  <c r="H9" i="26"/>
  <c r="I9" i="26"/>
  <c r="J9" i="26"/>
  <c r="K9" i="26"/>
  <c r="L9" i="26"/>
  <c r="M9" i="26"/>
  <c r="N9" i="26"/>
  <c r="O9" i="26"/>
  <c r="P9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F7" i="26"/>
  <c r="G7" i="26"/>
  <c r="H7" i="26"/>
  <c r="I7" i="26"/>
  <c r="J7" i="26"/>
  <c r="K7" i="26"/>
  <c r="L7" i="26"/>
  <c r="M7" i="26"/>
  <c r="N7" i="26"/>
  <c r="O7" i="26"/>
  <c r="P7" i="26"/>
  <c r="E7" i="26"/>
  <c r="Q45" i="26" l="1"/>
  <c r="N14" i="26"/>
  <c r="I14" i="26"/>
  <c r="G14" i="26"/>
  <c r="Q56" i="26"/>
  <c r="J14" i="26"/>
  <c r="H14" i="26"/>
  <c r="O14" i="26"/>
  <c r="Q28" i="26"/>
  <c r="Q17" i="26"/>
  <c r="P14" i="26"/>
  <c r="Q13" i="26"/>
  <c r="Q15" i="26"/>
  <c r="L14" i="26"/>
  <c r="M14" i="26"/>
  <c r="Q16" i="26"/>
  <c r="Q51" i="26"/>
  <c r="F14" i="26"/>
  <c r="P6" i="26"/>
  <c r="Q46" i="26"/>
  <c r="Q12" i="26"/>
  <c r="K14" i="26"/>
  <c r="I87" i="9"/>
  <c r="Q20" i="26"/>
  <c r="Q38" i="26"/>
  <c r="Q22" i="26"/>
  <c r="Q47" i="26"/>
  <c r="Q29" i="26"/>
  <c r="Q21" i="26"/>
  <c r="E14" i="26"/>
  <c r="K26" i="16" s="1"/>
  <c r="Q30" i="26"/>
  <c r="Q37" i="26"/>
  <c r="X35" i="5"/>
  <c r="G46" i="19"/>
  <c r="Q68" i="5"/>
  <c r="Q73" i="5"/>
  <c r="Q67" i="5"/>
  <c r="I48" i="26"/>
  <c r="M25" i="15" l="1"/>
  <c r="M61" i="15"/>
  <c r="M63" i="15"/>
  <c r="M70" i="15"/>
  <c r="M90" i="15"/>
  <c r="M115" i="15"/>
  <c r="M124" i="15"/>
  <c r="M27" i="15"/>
  <c r="M37" i="15"/>
  <c r="M60" i="15"/>
  <c r="M75" i="15"/>
  <c r="M92" i="15"/>
  <c r="M43" i="15"/>
  <c r="M55" i="15"/>
  <c r="M58" i="15"/>
  <c r="M84" i="15"/>
  <c r="M104" i="15"/>
  <c r="M123" i="15"/>
  <c r="M97" i="15"/>
  <c r="M99" i="15"/>
  <c r="M51" i="15"/>
  <c r="M53" i="15"/>
  <c r="M87" i="15"/>
  <c r="M100" i="15"/>
  <c r="M126" i="15"/>
  <c r="M121" i="15"/>
  <c r="M108" i="15"/>
  <c r="M21" i="15"/>
  <c r="M19" i="15"/>
  <c r="M20" i="15"/>
  <c r="M93" i="15"/>
  <c r="M29" i="15"/>
  <c r="M34" i="15"/>
  <c r="M101" i="15"/>
  <c r="M106" i="15"/>
  <c r="M69" i="15"/>
  <c r="M127" i="15"/>
  <c r="M15" i="15"/>
  <c r="M22" i="15"/>
  <c r="M18" i="15"/>
  <c r="M26" i="15"/>
  <c r="M47" i="15"/>
  <c r="M114" i="15"/>
  <c r="M83" i="15"/>
  <c r="M89" i="15"/>
  <c r="M28" i="15"/>
  <c r="M33" i="15"/>
  <c r="M32" i="15"/>
  <c r="M44" i="15"/>
  <c r="M94" i="15"/>
  <c r="M78" i="15"/>
  <c r="M48" i="15"/>
  <c r="M80" i="15"/>
  <c r="M31" i="15"/>
  <c r="M41" i="15"/>
  <c r="M39" i="15"/>
  <c r="M66" i="15"/>
  <c r="M62" i="15"/>
  <c r="M109" i="15"/>
  <c r="M65" i="15"/>
  <c r="M79" i="15"/>
  <c r="M116" i="15"/>
  <c r="M86" i="15"/>
  <c r="M82" i="15"/>
  <c r="M24" i="15"/>
  <c r="M72" i="15"/>
  <c r="M30" i="15"/>
  <c r="M57" i="15"/>
  <c r="M73" i="15"/>
  <c r="M74" i="15"/>
  <c r="M38" i="15"/>
  <c r="M112" i="15"/>
  <c r="M120" i="15"/>
  <c r="M56" i="15"/>
  <c r="M105" i="15"/>
  <c r="M119" i="15"/>
  <c r="M40" i="15"/>
  <c r="M42" i="15"/>
  <c r="M46" i="15"/>
  <c r="M52" i="15"/>
  <c r="M76" i="15"/>
  <c r="M59" i="15"/>
  <c r="M128" i="15"/>
  <c r="M49" i="15"/>
  <c r="M23" i="15"/>
  <c r="M98" i="15"/>
  <c r="M45" i="15"/>
  <c r="M67" i="15"/>
  <c r="M129" i="15"/>
  <c r="M131" i="15"/>
  <c r="M110" i="15"/>
  <c r="M85" i="15"/>
  <c r="M122" i="15"/>
  <c r="M71" i="15"/>
  <c r="M125" i="15"/>
  <c r="M132" i="15"/>
  <c r="M107" i="15"/>
  <c r="M117" i="15"/>
  <c r="M64" i="15"/>
  <c r="M113" i="15"/>
  <c r="M68" i="15"/>
  <c r="M130" i="15"/>
  <c r="M88" i="15"/>
  <c r="M95" i="15"/>
  <c r="M96" i="15"/>
  <c r="M81" i="15"/>
  <c r="M54" i="15"/>
  <c r="M111" i="15"/>
  <c r="M77" i="15"/>
  <c r="M118" i="15"/>
  <c r="M103" i="15"/>
  <c r="M36" i="15"/>
  <c r="M17" i="15"/>
  <c r="N25" i="15"/>
  <c r="N61" i="15"/>
  <c r="N63" i="15"/>
  <c r="N70" i="15"/>
  <c r="N90" i="15"/>
  <c r="N115" i="15"/>
  <c r="N124" i="15"/>
  <c r="N27" i="15"/>
  <c r="N37" i="15"/>
  <c r="N60" i="15"/>
  <c r="N75" i="15"/>
  <c r="N92" i="15"/>
  <c r="N43" i="15"/>
  <c r="N55" i="15"/>
  <c r="N58" i="15"/>
  <c r="N84" i="15"/>
  <c r="N104" i="15"/>
  <c r="N123" i="15"/>
  <c r="N97" i="15"/>
  <c r="N99" i="15"/>
  <c r="N51" i="15"/>
  <c r="N53" i="15"/>
  <c r="AE28" i="15" s="1"/>
  <c r="N87" i="15"/>
  <c r="AE26" i="15" s="1"/>
  <c r="N100" i="15"/>
  <c r="N126" i="15"/>
  <c r="N121" i="15"/>
  <c r="N108" i="15"/>
  <c r="N21" i="15"/>
  <c r="N19" i="15"/>
  <c r="N20" i="15"/>
  <c r="N93" i="15"/>
  <c r="N29" i="15"/>
  <c r="N34" i="15"/>
  <c r="N101" i="15"/>
  <c r="N106" i="15"/>
  <c r="N69" i="15"/>
  <c r="N127" i="15"/>
  <c r="N15" i="15"/>
  <c r="N22" i="15"/>
  <c r="N18" i="15"/>
  <c r="N26" i="15"/>
  <c r="N47" i="15"/>
  <c r="N114" i="15"/>
  <c r="N83" i="15"/>
  <c r="N89" i="15"/>
  <c r="N28" i="15"/>
  <c r="N33" i="15"/>
  <c r="N32" i="15"/>
  <c r="N44" i="15"/>
  <c r="N94" i="15"/>
  <c r="N78" i="15"/>
  <c r="N48" i="15"/>
  <c r="N80" i="15"/>
  <c r="N31" i="15"/>
  <c r="N41" i="15"/>
  <c r="N39" i="15"/>
  <c r="N66" i="15"/>
  <c r="N62" i="15"/>
  <c r="N109" i="15"/>
  <c r="N65" i="15"/>
  <c r="N79" i="15"/>
  <c r="N116" i="15"/>
  <c r="N86" i="15"/>
  <c r="N82" i="15"/>
  <c r="N24" i="15"/>
  <c r="N72" i="15"/>
  <c r="N30" i="15"/>
  <c r="N57" i="15"/>
  <c r="N73" i="15"/>
  <c r="N74" i="15"/>
  <c r="N38" i="15"/>
  <c r="N112" i="15"/>
  <c r="N120" i="15"/>
  <c r="N56" i="15"/>
  <c r="N105" i="15"/>
  <c r="N119" i="15"/>
  <c r="N40" i="15"/>
  <c r="N42" i="15"/>
  <c r="N46" i="15"/>
  <c r="N52" i="15"/>
  <c r="N76" i="15"/>
  <c r="N59" i="15"/>
  <c r="N128" i="15"/>
  <c r="N49" i="15"/>
  <c r="N23" i="15"/>
  <c r="N98" i="15"/>
  <c r="N45" i="15"/>
  <c r="N67" i="15"/>
  <c r="N129" i="15"/>
  <c r="N131" i="15"/>
  <c r="N110" i="15"/>
  <c r="N85" i="15"/>
  <c r="N122" i="15"/>
  <c r="N71" i="15"/>
  <c r="N125" i="15"/>
  <c r="AE24" i="15" s="1"/>
  <c r="N132" i="15"/>
  <c r="AE23" i="15" s="1"/>
  <c r="N107" i="15"/>
  <c r="AE27" i="15" s="1"/>
  <c r="N117" i="15"/>
  <c r="N64" i="15"/>
  <c r="N113" i="15"/>
  <c r="N68" i="15"/>
  <c r="N130" i="15"/>
  <c r="N88" i="15"/>
  <c r="N95" i="15"/>
  <c r="N96" i="15"/>
  <c r="N81" i="15"/>
  <c r="N54" i="15"/>
  <c r="N111" i="15"/>
  <c r="N77" i="15"/>
  <c r="N118" i="15"/>
  <c r="N103" i="15"/>
  <c r="N36" i="15"/>
  <c r="AE29" i="15" s="1"/>
  <c r="N17" i="15"/>
  <c r="AE25" i="15" l="1"/>
  <c r="AE34" i="15"/>
  <c r="AE31" i="15"/>
  <c r="AE32" i="15"/>
  <c r="AE30" i="15"/>
  <c r="AE33" i="15"/>
  <c r="N48" i="18"/>
  <c r="I4" i="19"/>
  <c r="P39" i="26" l="1"/>
  <c r="O39" i="26"/>
  <c r="N39" i="26"/>
  <c r="M39" i="26"/>
  <c r="L39" i="26"/>
  <c r="K39" i="26"/>
  <c r="J39" i="26"/>
  <c r="I39" i="26"/>
  <c r="H39" i="26"/>
  <c r="G39" i="26"/>
  <c r="F39" i="26"/>
  <c r="E39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F6" i="26"/>
  <c r="G6" i="26"/>
  <c r="H6" i="26"/>
  <c r="I6" i="26"/>
  <c r="J6" i="26"/>
  <c r="K6" i="26"/>
  <c r="L6" i="26"/>
  <c r="M6" i="26"/>
  <c r="N6" i="26"/>
  <c r="O6" i="26"/>
  <c r="E6" i="26"/>
  <c r="F48" i="26"/>
  <c r="G48" i="26"/>
  <c r="H48" i="26"/>
  <c r="J48" i="26"/>
  <c r="K48" i="26"/>
  <c r="L48" i="26"/>
  <c r="M48" i="26"/>
  <c r="N48" i="26"/>
  <c r="O48" i="26"/>
  <c r="P48" i="26"/>
  <c r="E48" i="26"/>
  <c r="F53" i="26"/>
  <c r="G53" i="26"/>
  <c r="H53" i="26"/>
  <c r="I53" i="26"/>
  <c r="J53" i="26"/>
  <c r="K53" i="26"/>
  <c r="L53" i="26"/>
  <c r="M53" i="26"/>
  <c r="N53" i="26"/>
  <c r="O53" i="26"/>
  <c r="P53" i="26"/>
  <c r="E53" i="26"/>
  <c r="Q54" i="26"/>
  <c r="Q49" i="26"/>
  <c r="Q40" i="26"/>
  <c r="Q32" i="26"/>
  <c r="Q24" i="26"/>
  <c r="Q7" i="26"/>
  <c r="Q8" i="26"/>
  <c r="Q9" i="26"/>
  <c r="Q10" i="26"/>
  <c r="Q11" i="26"/>
  <c r="Q18" i="26"/>
  <c r="Q19" i="26"/>
  <c r="Q25" i="26"/>
  <c r="Q26" i="26"/>
  <c r="Q27" i="26"/>
  <c r="Q33" i="26"/>
  <c r="Q34" i="26"/>
  <c r="Q35" i="26"/>
  <c r="Q36" i="26"/>
  <c r="Q41" i="26"/>
  <c r="Q42" i="26"/>
  <c r="Q43" i="26"/>
  <c r="Q44" i="26"/>
  <c r="Q50" i="26"/>
  <c r="Q52" i="26"/>
  <c r="Q55" i="26"/>
  <c r="Q57" i="26"/>
  <c r="AA54" i="14" l="1"/>
  <c r="P58" i="26"/>
  <c r="H58" i="26"/>
  <c r="N58" i="26"/>
  <c r="F58" i="26"/>
  <c r="Q14" i="26"/>
  <c r="O58" i="26"/>
  <c r="Q53" i="26"/>
  <c r="L58" i="26"/>
  <c r="I58" i="26"/>
  <c r="Q31" i="26"/>
  <c r="Q39" i="26"/>
  <c r="M58" i="26"/>
  <c r="K58" i="26"/>
  <c r="J58" i="26"/>
  <c r="Q23" i="26"/>
  <c r="Q6" i="26"/>
  <c r="G58" i="26"/>
  <c r="Q48" i="26"/>
  <c r="E58" i="26"/>
  <c r="J8" i="7"/>
  <c r="Z85" i="14" l="1"/>
  <c r="Z49" i="14"/>
  <c r="Z53" i="14"/>
  <c r="Z44" i="14"/>
  <c r="Z48" i="14"/>
  <c r="Z45" i="14"/>
  <c r="Z34" i="14"/>
  <c r="Z52" i="14"/>
  <c r="Z30" i="14"/>
  <c r="Z50" i="14"/>
  <c r="Z41" i="14"/>
  <c r="Z46" i="14"/>
  <c r="Z38" i="14"/>
  <c r="Z51" i="14"/>
  <c r="Z39" i="14"/>
  <c r="Z31" i="14"/>
  <c r="AD31" i="14" s="1"/>
  <c r="Z42" i="14"/>
  <c r="Z43" i="14"/>
  <c r="Z37" i="14"/>
  <c r="Z35" i="14"/>
  <c r="Z33" i="14"/>
  <c r="Z36" i="14"/>
  <c r="Z47" i="14"/>
  <c r="Z40" i="14"/>
  <c r="Z32" i="14"/>
  <c r="Q58" i="26"/>
  <c r="E61" i="17"/>
  <c r="S4" i="8" l="1"/>
  <c r="R4" i="8"/>
  <c r="Q11" i="8"/>
  <c r="R11" i="8" s="1"/>
  <c r="Q14" i="8"/>
  <c r="R14" i="8" s="1"/>
  <c r="Q17" i="8"/>
  <c r="R17" i="8" s="1"/>
  <c r="Q20" i="8"/>
  <c r="R20" i="8" s="1"/>
  <c r="Q23" i="8"/>
  <c r="S23" i="8" s="1"/>
  <c r="Q26" i="8"/>
  <c r="R26" i="8" s="1"/>
  <c r="Q29" i="8"/>
  <c r="S29" i="8" s="1"/>
  <c r="Q32" i="8"/>
  <c r="R32" i="8" s="1"/>
  <c r="Q35" i="8"/>
  <c r="S35" i="8" s="1"/>
  <c r="Q38" i="8"/>
  <c r="S38" i="8" s="1"/>
  <c r="Q41" i="8"/>
  <c r="R41" i="8" s="1"/>
  <c r="Q44" i="8"/>
  <c r="R44" i="8" s="1"/>
  <c r="Q47" i="8"/>
  <c r="S47" i="8" s="1"/>
  <c r="R47" i="8"/>
  <c r="Q50" i="8"/>
  <c r="R50" i="8" s="1"/>
  <c r="Q8" i="8"/>
  <c r="R8" i="8" s="1"/>
  <c r="Q5" i="8"/>
  <c r="S5" i="8" s="1"/>
  <c r="M9" i="8"/>
  <c r="N9" i="8"/>
  <c r="M10" i="8"/>
  <c r="N10" i="8"/>
  <c r="M11" i="8"/>
  <c r="N11" i="8"/>
  <c r="M12" i="8"/>
  <c r="N12" i="8"/>
  <c r="M13" i="8"/>
  <c r="N13" i="8"/>
  <c r="M14" i="8"/>
  <c r="N14" i="8"/>
  <c r="M15" i="8"/>
  <c r="N15" i="8"/>
  <c r="M16" i="8"/>
  <c r="N16" i="8"/>
  <c r="M17" i="8"/>
  <c r="N17" i="8"/>
  <c r="M18" i="8"/>
  <c r="N18" i="8"/>
  <c r="M19" i="8"/>
  <c r="N19" i="8"/>
  <c r="M20" i="8"/>
  <c r="N20" i="8"/>
  <c r="M21" i="8"/>
  <c r="N21" i="8"/>
  <c r="M22" i="8"/>
  <c r="N22" i="8"/>
  <c r="M23" i="8"/>
  <c r="N23" i="8"/>
  <c r="M24" i="8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M35" i="8"/>
  <c r="N35" i="8"/>
  <c r="M36" i="8"/>
  <c r="N36" i="8"/>
  <c r="M37" i="8"/>
  <c r="N37" i="8"/>
  <c r="M38" i="8"/>
  <c r="N38" i="8"/>
  <c r="M39" i="8"/>
  <c r="N39" i="8"/>
  <c r="M40" i="8"/>
  <c r="N40" i="8"/>
  <c r="M41" i="8"/>
  <c r="N41" i="8"/>
  <c r="M42" i="8"/>
  <c r="N42" i="8"/>
  <c r="M43" i="8"/>
  <c r="N43" i="8"/>
  <c r="M44" i="8"/>
  <c r="N44" i="8"/>
  <c r="M45" i="8"/>
  <c r="N45" i="8"/>
  <c r="M46" i="8"/>
  <c r="N46" i="8"/>
  <c r="M47" i="8"/>
  <c r="N47" i="8"/>
  <c r="M48" i="8"/>
  <c r="N48" i="8"/>
  <c r="M49" i="8"/>
  <c r="N49" i="8"/>
  <c r="M50" i="8"/>
  <c r="N50" i="8"/>
  <c r="M51" i="8"/>
  <c r="N51" i="8"/>
  <c r="N5" i="8"/>
  <c r="N6" i="8"/>
  <c r="N7" i="8"/>
  <c r="N8" i="8"/>
  <c r="N4" i="8"/>
  <c r="M5" i="8"/>
  <c r="M6" i="8"/>
  <c r="M7" i="8"/>
  <c r="M8" i="8"/>
  <c r="M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4" i="8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H34" i="5"/>
  <c r="N17" i="21"/>
  <c r="M17" i="21"/>
  <c r="L17" i="21"/>
  <c r="K17" i="21"/>
  <c r="J17" i="21"/>
  <c r="I17" i="21"/>
  <c r="H17" i="21"/>
  <c r="G17" i="21"/>
  <c r="F17" i="21"/>
  <c r="E17" i="21"/>
  <c r="I16" i="21"/>
  <c r="J16" i="21" s="1"/>
  <c r="H16" i="21"/>
  <c r="G16" i="21"/>
  <c r="F16" i="21"/>
  <c r="O15" i="21"/>
  <c r="I15" i="21"/>
  <c r="H15" i="21"/>
  <c r="G15" i="21"/>
  <c r="F15" i="21"/>
  <c r="E15" i="21"/>
  <c r="I11" i="21"/>
  <c r="J11" i="21" s="1"/>
  <c r="H11" i="21"/>
  <c r="G11" i="21"/>
  <c r="F11" i="21"/>
  <c r="O10" i="21"/>
  <c r="O18" i="21" s="1"/>
  <c r="O20" i="21" s="1"/>
  <c r="I10" i="21"/>
  <c r="I18" i="21" s="1"/>
  <c r="I20" i="21" s="1"/>
  <c r="H10" i="21"/>
  <c r="H18" i="21" s="1"/>
  <c r="H20" i="21" s="1"/>
  <c r="G10" i="21"/>
  <c r="G18" i="21" s="1"/>
  <c r="G20" i="21" s="1"/>
  <c r="F10" i="21"/>
  <c r="F18" i="21" s="1"/>
  <c r="F20" i="21" s="1"/>
  <c r="E10" i="21"/>
  <c r="E18" i="21" s="1"/>
  <c r="E20" i="21" s="1"/>
  <c r="R23" i="8" l="1"/>
  <c r="R35" i="8"/>
  <c r="S8" i="8"/>
  <c r="S17" i="8"/>
  <c r="S44" i="8"/>
  <c r="S32" i="8"/>
  <c r="S41" i="8"/>
  <c r="S26" i="8"/>
  <c r="R38" i="8"/>
  <c r="R29" i="8"/>
  <c r="S11" i="8"/>
  <c r="S14" i="8"/>
  <c r="S50" i="8"/>
  <c r="S20" i="8"/>
  <c r="R5" i="8"/>
  <c r="K11" i="21"/>
  <c r="J10" i="21"/>
  <c r="K16" i="21"/>
  <c r="J15" i="21"/>
  <c r="L16" i="21" l="1"/>
  <c r="K15" i="21"/>
  <c r="J18" i="21"/>
  <c r="J20" i="21" s="1"/>
  <c r="K10" i="21"/>
  <c r="K18" i="21" s="1"/>
  <c r="K20" i="21" s="1"/>
  <c r="L11" i="21"/>
  <c r="M11" i="21" l="1"/>
  <c r="L10" i="21"/>
  <c r="M16" i="21"/>
  <c r="L15" i="21"/>
  <c r="N16" i="21" l="1"/>
  <c r="N15" i="21" s="1"/>
  <c r="M15" i="21"/>
  <c r="L18" i="21"/>
  <c r="L20" i="21" s="1"/>
  <c r="N11" i="21"/>
  <c r="N10" i="21" s="1"/>
  <c r="N18" i="21" s="1"/>
  <c r="N20" i="21" s="1"/>
  <c r="M10" i="21"/>
  <c r="M18" i="21" s="1"/>
  <c r="M20" i="21" s="1"/>
  <c r="E22" i="21" l="1"/>
  <c r="H49" i="23" l="1"/>
  <c r="P19" i="23"/>
  <c r="J18" i="23"/>
  <c r="K18" i="23"/>
  <c r="L18" i="23"/>
  <c r="M18" i="23"/>
  <c r="N18" i="23"/>
  <c r="O18" i="23"/>
  <c r="P18" i="23"/>
  <c r="J19" i="23"/>
  <c r="K19" i="23"/>
  <c r="L19" i="23"/>
  <c r="M19" i="23"/>
  <c r="N19" i="23"/>
  <c r="O19" i="23"/>
  <c r="J20" i="23"/>
  <c r="K20" i="23"/>
  <c r="L20" i="23"/>
  <c r="M20" i="23"/>
  <c r="N20" i="23"/>
  <c r="O20" i="23"/>
  <c r="P20" i="23"/>
  <c r="J21" i="23"/>
  <c r="K21" i="23"/>
  <c r="L21" i="23"/>
  <c r="M21" i="23"/>
  <c r="N21" i="23"/>
  <c r="O21" i="23"/>
  <c r="P21" i="23"/>
  <c r="J15" i="23"/>
  <c r="K15" i="23"/>
  <c r="L15" i="23"/>
  <c r="M15" i="23"/>
  <c r="N15" i="23"/>
  <c r="O15" i="23"/>
  <c r="J16" i="23"/>
  <c r="K16" i="23"/>
  <c r="L16" i="23"/>
  <c r="M16" i="23"/>
  <c r="N16" i="23"/>
  <c r="O16" i="23"/>
  <c r="P16" i="23"/>
  <c r="I21" i="23"/>
  <c r="I20" i="23"/>
  <c r="I19" i="23"/>
  <c r="I18" i="23"/>
  <c r="I16" i="23"/>
  <c r="I15" i="23"/>
  <c r="J13" i="23"/>
  <c r="K13" i="23"/>
  <c r="L13" i="23"/>
  <c r="M13" i="23"/>
  <c r="N13" i="23"/>
  <c r="O13" i="23"/>
  <c r="P13" i="23"/>
  <c r="J14" i="23"/>
  <c r="K14" i="23"/>
  <c r="L14" i="23"/>
  <c r="M14" i="23"/>
  <c r="N14" i="23"/>
  <c r="O14" i="23"/>
  <c r="P14" i="23"/>
  <c r="I14" i="23"/>
  <c r="I13" i="23"/>
  <c r="H56" i="23"/>
  <c r="G56" i="23"/>
  <c r="F56" i="23"/>
  <c r="E56" i="23"/>
  <c r="H55" i="23"/>
  <c r="G55" i="23"/>
  <c r="F55" i="23"/>
  <c r="E55" i="23"/>
  <c r="H54" i="23"/>
  <c r="G54" i="23"/>
  <c r="F54" i="23"/>
  <c r="E54" i="23"/>
  <c r="H53" i="23"/>
  <c r="G53" i="23"/>
  <c r="F53" i="23"/>
  <c r="E53" i="23"/>
  <c r="H52" i="23"/>
  <c r="G52" i="23"/>
  <c r="F52" i="23"/>
  <c r="E52" i="23"/>
  <c r="H51" i="23"/>
  <c r="G51" i="23"/>
  <c r="F51" i="23"/>
  <c r="E51" i="23"/>
  <c r="H50" i="23"/>
  <c r="G50" i="23"/>
  <c r="F50" i="23"/>
  <c r="E50" i="23"/>
  <c r="G49" i="23"/>
  <c r="F49" i="23"/>
  <c r="E49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H45" i="23"/>
  <c r="G45" i="23"/>
  <c r="F45" i="23"/>
  <c r="E45" i="23"/>
  <c r="H44" i="23"/>
  <c r="G44" i="23"/>
  <c r="F44" i="23"/>
  <c r="E44" i="23"/>
  <c r="H43" i="23"/>
  <c r="G43" i="23"/>
  <c r="F43" i="23"/>
  <c r="E43" i="23"/>
  <c r="H42" i="23"/>
  <c r="G42" i="23"/>
  <c r="F42" i="23"/>
  <c r="E42" i="23"/>
  <c r="H41" i="23"/>
  <c r="G41" i="23"/>
  <c r="F41" i="23"/>
  <c r="E41" i="23"/>
  <c r="H40" i="23"/>
  <c r="G40" i="23"/>
  <c r="F40" i="23"/>
  <c r="E40" i="23"/>
  <c r="H39" i="23"/>
  <c r="G39" i="23"/>
  <c r="F39" i="23"/>
  <c r="E39" i="23"/>
  <c r="H38" i="23"/>
  <c r="G38" i="23"/>
  <c r="F38" i="23"/>
  <c r="E38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P28" i="23"/>
  <c r="O28" i="23"/>
  <c r="N28" i="23"/>
  <c r="M28" i="23"/>
  <c r="L28" i="23"/>
  <c r="K28" i="23"/>
  <c r="J28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G61" i="23" s="1"/>
  <c r="F24" i="23"/>
  <c r="E24" i="23"/>
  <c r="H23" i="23"/>
  <c r="G23" i="23"/>
  <c r="F23" i="23"/>
  <c r="E23" i="23"/>
  <c r="Q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6" i="23"/>
  <c r="G16" i="23"/>
  <c r="F16" i="23"/>
  <c r="E16" i="23"/>
  <c r="H15" i="23"/>
  <c r="G15" i="23"/>
  <c r="F15" i="23"/>
  <c r="E15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7" i="23"/>
  <c r="G7" i="23"/>
  <c r="F7" i="23"/>
  <c r="E7" i="23"/>
  <c r="G37" i="22"/>
  <c r="I34" i="5"/>
  <c r="J34" i="5"/>
  <c r="K34" i="5"/>
  <c r="L34" i="5"/>
  <c r="M34" i="5"/>
  <c r="N34" i="5"/>
  <c r="G34" i="5"/>
  <c r="G67" i="23" l="1"/>
  <c r="F61" i="23"/>
  <c r="F66" i="23" s="1"/>
  <c r="H61" i="23"/>
  <c r="P15" i="23"/>
  <c r="Q15" i="23" s="1"/>
  <c r="U15" i="23" s="1"/>
  <c r="G8" i="23"/>
  <c r="Q19" i="23"/>
  <c r="U19" i="23" s="1"/>
  <c r="Q20" i="23"/>
  <c r="H66" i="23"/>
  <c r="H8" i="23"/>
  <c r="E8" i="23"/>
  <c r="H67" i="23"/>
  <c r="F8" i="23"/>
  <c r="E69" i="23"/>
  <c r="Q47" i="23"/>
  <c r="Q13" i="23"/>
  <c r="U13" i="23" s="1"/>
  <c r="G66" i="23"/>
  <c r="Q46" i="23"/>
  <c r="U46" i="23" s="1"/>
  <c r="G68" i="23"/>
  <c r="F69" i="23"/>
  <c r="E68" i="23"/>
  <c r="Q48" i="23"/>
  <c r="Q18" i="23"/>
  <c r="U18" i="23" s="1"/>
  <c r="H68" i="23"/>
  <c r="E61" i="23"/>
  <c r="E66" i="23" s="1"/>
  <c r="Q16" i="23"/>
  <c r="U16" i="23" s="1"/>
  <c r="G69" i="23"/>
  <c r="Q21" i="23"/>
  <c r="U21" i="23" s="1"/>
  <c r="F68" i="23"/>
  <c r="H69" i="23"/>
  <c r="Q14" i="23"/>
  <c r="U14" i="23" s="1"/>
  <c r="E67" i="23"/>
  <c r="F67" i="23"/>
  <c r="U22" i="23"/>
  <c r="U47" i="23" l="1"/>
  <c r="U20" i="23"/>
  <c r="U48" i="23"/>
  <c r="F34" i="22"/>
  <c r="G10" i="22"/>
  <c r="G18" i="22"/>
  <c r="G22" i="22"/>
  <c r="G25" i="22"/>
  <c r="G6" i="22"/>
  <c r="T133" i="15"/>
  <c r="T13" i="15" s="1"/>
  <c r="U133" i="15"/>
  <c r="U13" i="15" s="1"/>
  <c r="V133" i="15"/>
  <c r="V13" i="15" s="1"/>
  <c r="W133" i="15"/>
  <c r="W13" i="15" s="1"/>
  <c r="X133" i="15"/>
  <c r="X13" i="15" s="1"/>
  <c r="Y133" i="15"/>
  <c r="Y13" i="15" s="1"/>
  <c r="Z133" i="15"/>
  <c r="Z13" i="15" s="1"/>
  <c r="AA133" i="15"/>
  <c r="AA13" i="15" s="1"/>
  <c r="D62" i="10"/>
  <c r="D35" i="5"/>
  <c r="E35" i="5"/>
  <c r="F35" i="5"/>
  <c r="G35" i="5"/>
  <c r="H35" i="5"/>
  <c r="I35" i="5"/>
  <c r="J35" i="5"/>
  <c r="K35" i="5"/>
  <c r="L35" i="5"/>
  <c r="M35" i="5"/>
  <c r="N35" i="5"/>
  <c r="C35" i="5"/>
  <c r="F34" i="5"/>
  <c r="E34" i="5"/>
  <c r="D34" i="5"/>
  <c r="C34" i="5"/>
  <c r="C61" i="17"/>
  <c r="D61" i="17"/>
  <c r="B61" i="17"/>
  <c r="N61" i="17" s="1"/>
  <c r="X34" i="5" l="1"/>
  <c r="O35" i="5"/>
  <c r="G34" i="22"/>
  <c r="H37" i="22" l="1"/>
  <c r="G38" i="22"/>
  <c r="H38" i="22" s="1"/>
  <c r="H34" i="22"/>
  <c r="H25" i="22"/>
  <c r="H28" i="22"/>
  <c r="H22" i="22"/>
  <c r="H18" i="22"/>
  <c r="H10" i="22"/>
  <c r="H6" i="22"/>
  <c r="I58" i="17"/>
  <c r="I59" i="17" s="1"/>
  <c r="F54" i="18"/>
  <c r="G54" i="18"/>
  <c r="H54" i="18"/>
  <c r="I54" i="18"/>
  <c r="J54" i="18"/>
  <c r="K54" i="18"/>
  <c r="L54" i="18"/>
  <c r="M54" i="18"/>
  <c r="F55" i="18"/>
  <c r="G55" i="18"/>
  <c r="H55" i="18"/>
  <c r="I55" i="18"/>
  <c r="J55" i="18"/>
  <c r="K55" i="18"/>
  <c r="L55" i="18"/>
  <c r="M55" i="18"/>
  <c r="F56" i="18"/>
  <c r="G56" i="18"/>
  <c r="H56" i="18"/>
  <c r="I56" i="18"/>
  <c r="J56" i="18"/>
  <c r="K56" i="18"/>
  <c r="L56" i="18"/>
  <c r="M56" i="18"/>
  <c r="M2" i="18"/>
  <c r="M53" i="18" s="1"/>
  <c r="L2" i="18"/>
  <c r="L53" i="18" s="1"/>
  <c r="K2" i="18"/>
  <c r="K53" i="18" s="1"/>
  <c r="J2" i="18"/>
  <c r="J53" i="18" s="1"/>
  <c r="I2" i="18"/>
  <c r="I53" i="18" s="1"/>
  <c r="H2" i="18"/>
  <c r="H53" i="18" s="1"/>
  <c r="G2" i="18"/>
  <c r="G53" i="18" s="1"/>
  <c r="F2" i="18"/>
  <c r="F53" i="18" s="1"/>
  <c r="F3" i="17"/>
  <c r="F4" i="17" s="1"/>
  <c r="G3" i="17"/>
  <c r="G4" i="17" s="1"/>
  <c r="I3" i="17"/>
  <c r="I4" i="17" s="1"/>
  <c r="J3" i="17"/>
  <c r="J4" i="17" s="1"/>
  <c r="K3" i="17"/>
  <c r="K4" i="17" s="1"/>
  <c r="L3" i="17"/>
  <c r="L4" i="17" s="1"/>
  <c r="M3" i="17"/>
  <c r="M4" i="17" s="1"/>
  <c r="F2" i="17"/>
  <c r="F58" i="17" s="1"/>
  <c r="G2" i="17"/>
  <c r="G58" i="17" s="1"/>
  <c r="H2" i="17"/>
  <c r="H3" i="17" s="1"/>
  <c r="H4" i="17" s="1"/>
  <c r="I2" i="17"/>
  <c r="J2" i="17"/>
  <c r="J58" i="17" s="1"/>
  <c r="K2" i="17"/>
  <c r="K58" i="17" s="1"/>
  <c r="L2" i="17"/>
  <c r="L58" i="17" s="1"/>
  <c r="M2" i="17"/>
  <c r="M58" i="17" s="1"/>
  <c r="U16" i="5"/>
  <c r="T16" i="5"/>
  <c r="H58" i="17" l="1"/>
  <c r="H60" i="17" s="1"/>
  <c r="L59" i="17"/>
  <c r="L60" i="17"/>
  <c r="M59" i="17"/>
  <c r="M60" i="17"/>
  <c r="K60" i="17"/>
  <c r="K59" i="17"/>
  <c r="J60" i="17"/>
  <c r="J59" i="17"/>
  <c r="G60" i="17"/>
  <c r="G59" i="17"/>
  <c r="I60" i="17"/>
  <c r="H59" i="17"/>
  <c r="F59" i="17"/>
  <c r="F60" i="17"/>
  <c r="O34" i="5"/>
  <c r="N9" i="17" l="1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8" i="17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8" i="18"/>
  <c r="G69" i="5"/>
  <c r="H69" i="5"/>
  <c r="I69" i="5"/>
  <c r="J69" i="5"/>
  <c r="K69" i="5"/>
  <c r="L69" i="5"/>
  <c r="M69" i="5"/>
  <c r="N69" i="5"/>
  <c r="C69" i="5"/>
  <c r="C6" i="5"/>
  <c r="V9" i="5"/>
  <c r="D27" i="5"/>
  <c r="K5" i="19"/>
  <c r="L5" i="19"/>
  <c r="M5" i="19"/>
  <c r="N5" i="19"/>
  <c r="O5" i="19"/>
  <c r="P5" i="19"/>
  <c r="H4" i="19"/>
  <c r="F69" i="5" s="1"/>
  <c r="G4" i="19"/>
  <c r="E69" i="5" s="1"/>
  <c r="F4" i="19"/>
  <c r="E4" i="19"/>
  <c r="C27" i="5" s="1"/>
  <c r="Q19" i="19"/>
  <c r="U19" i="19" s="1"/>
  <c r="F2" i="19"/>
  <c r="I2" i="19"/>
  <c r="J2" i="19"/>
  <c r="K2" i="19"/>
  <c r="L2" i="19"/>
  <c r="M2" i="19"/>
  <c r="N2" i="19"/>
  <c r="O2" i="19"/>
  <c r="P2" i="19"/>
  <c r="E2" i="19"/>
  <c r="Q69" i="5" l="1"/>
  <c r="C2" i="17"/>
  <c r="C2" i="18"/>
  <c r="C53" i="18" s="1"/>
  <c r="D69" i="5"/>
  <c r="H2" i="19"/>
  <c r="E2" i="18"/>
  <c r="E53" i="18" s="1"/>
  <c r="E2" i="17"/>
  <c r="F27" i="5"/>
  <c r="G27" i="5" s="1"/>
  <c r="B2" i="18"/>
  <c r="B53" i="18" s="1"/>
  <c r="B2" i="17"/>
  <c r="G2" i="19"/>
  <c r="D2" i="18"/>
  <c r="D53" i="18" s="1"/>
  <c r="D2" i="17"/>
  <c r="E27" i="5"/>
  <c r="D32" i="5"/>
  <c r="D36" i="5"/>
  <c r="D33" i="5"/>
  <c r="C32" i="5"/>
  <c r="C33" i="5"/>
  <c r="C36" i="5"/>
  <c r="E36" i="5"/>
  <c r="E32" i="5"/>
  <c r="E33" i="5"/>
  <c r="O17" i="17"/>
  <c r="N53" i="17" s="1"/>
  <c r="L54" i="17" l="1"/>
  <c r="F54" i="17"/>
  <c r="E53" i="17"/>
  <c r="D54" i="17"/>
  <c r="I54" i="17"/>
  <c r="K53" i="17"/>
  <c r="J54" i="17"/>
  <c r="M53" i="17"/>
  <c r="C41" i="5"/>
  <c r="E58" i="17"/>
  <c r="E3" i="17"/>
  <c r="E4" i="17" s="1"/>
  <c r="B3" i="17"/>
  <c r="B4" i="17" s="1"/>
  <c r="B58" i="17"/>
  <c r="B55" i="18"/>
  <c r="B54" i="18"/>
  <c r="B56" i="18"/>
  <c r="H27" i="5"/>
  <c r="G32" i="5"/>
  <c r="I7" i="23"/>
  <c r="E31" i="5"/>
  <c r="E41" i="5"/>
  <c r="E54" i="18"/>
  <c r="E56" i="18"/>
  <c r="E55" i="18"/>
  <c r="D41" i="5"/>
  <c r="F33" i="5"/>
  <c r="F32" i="5"/>
  <c r="D58" i="17"/>
  <c r="D3" i="17"/>
  <c r="D4" i="17" s="1"/>
  <c r="C54" i="18"/>
  <c r="C55" i="18"/>
  <c r="C56" i="18"/>
  <c r="F36" i="5"/>
  <c r="D55" i="18"/>
  <c r="D54" i="18"/>
  <c r="D56" i="18"/>
  <c r="C3" i="17"/>
  <c r="C4" i="17" s="1"/>
  <c r="C58" i="17"/>
  <c r="E54" i="17"/>
  <c r="C54" i="17"/>
  <c r="G54" i="17"/>
  <c r="M54" i="17"/>
  <c r="C53" i="17"/>
  <c r="B53" i="17"/>
  <c r="K54" i="17"/>
  <c r="B54" i="17"/>
  <c r="G53" i="17"/>
  <c r="I53" i="17"/>
  <c r="D53" i="17"/>
  <c r="H54" i="17"/>
  <c r="C31" i="5"/>
  <c r="C52" i="5" s="1"/>
  <c r="D31" i="5"/>
  <c r="J53" i="17"/>
  <c r="L53" i="17"/>
  <c r="F53" i="17"/>
  <c r="H53" i="17"/>
  <c r="N54" i="17"/>
  <c r="F41" i="5" l="1"/>
  <c r="X32" i="5"/>
  <c r="C59" i="17"/>
  <c r="C60" i="17"/>
  <c r="I11" i="23"/>
  <c r="H32" i="5"/>
  <c r="I32" i="5" s="1"/>
  <c r="J32" i="5" s="1"/>
  <c r="K32" i="5" s="1"/>
  <c r="L32" i="5" s="1"/>
  <c r="M32" i="5" s="1"/>
  <c r="N32" i="5" s="1"/>
  <c r="B60" i="17"/>
  <c r="B59" i="17"/>
  <c r="F31" i="5"/>
  <c r="E59" i="17"/>
  <c r="E60" i="17"/>
  <c r="D59" i="17"/>
  <c r="D60" i="17"/>
  <c r="I27" i="5"/>
  <c r="J27" i="5" s="1"/>
  <c r="J7" i="23"/>
  <c r="N54" i="18"/>
  <c r="F20" i="19"/>
  <c r="G20" i="19"/>
  <c r="H20" i="19"/>
  <c r="I20" i="19"/>
  <c r="J20" i="19"/>
  <c r="K20" i="19"/>
  <c r="L20" i="19"/>
  <c r="M20" i="19"/>
  <c r="N20" i="19"/>
  <c r="O20" i="19"/>
  <c r="P20" i="19"/>
  <c r="F21" i="19"/>
  <c r="G21" i="19"/>
  <c r="G58" i="19" s="1"/>
  <c r="H21" i="19"/>
  <c r="I21" i="19"/>
  <c r="J21" i="19"/>
  <c r="K21" i="19"/>
  <c r="L21" i="19"/>
  <c r="M21" i="19"/>
  <c r="N21" i="19"/>
  <c r="O21" i="19"/>
  <c r="P21" i="19"/>
  <c r="F22" i="19"/>
  <c r="G22" i="19"/>
  <c r="H22" i="19"/>
  <c r="I22" i="19"/>
  <c r="J22" i="19"/>
  <c r="K22" i="19"/>
  <c r="L22" i="19"/>
  <c r="M22" i="19"/>
  <c r="N22" i="19"/>
  <c r="O22" i="19"/>
  <c r="P22" i="19"/>
  <c r="F23" i="19"/>
  <c r="G23" i="19"/>
  <c r="H23" i="19"/>
  <c r="I23" i="19"/>
  <c r="I26" i="23" s="1"/>
  <c r="J23" i="19"/>
  <c r="J26" i="23" s="1"/>
  <c r="K23" i="19"/>
  <c r="L23" i="19"/>
  <c r="L26" i="23" s="1"/>
  <c r="M23" i="19"/>
  <c r="M26" i="23" s="1"/>
  <c r="N23" i="19"/>
  <c r="N26" i="23" s="1"/>
  <c r="O23" i="19"/>
  <c r="O26" i="23" s="1"/>
  <c r="P23" i="19"/>
  <c r="P26" i="23" s="1"/>
  <c r="F24" i="19"/>
  <c r="G24" i="19"/>
  <c r="H24" i="19"/>
  <c r="I24" i="19"/>
  <c r="J24" i="19"/>
  <c r="K24" i="19"/>
  <c r="L24" i="19"/>
  <c r="M24" i="19"/>
  <c r="N24" i="19"/>
  <c r="O24" i="19"/>
  <c r="P24" i="19"/>
  <c r="F25" i="19"/>
  <c r="G25" i="19"/>
  <c r="H25" i="19"/>
  <c r="I25" i="19"/>
  <c r="I28" i="23" s="1"/>
  <c r="Q28" i="23" s="1"/>
  <c r="J25" i="19"/>
  <c r="K25" i="19"/>
  <c r="L25" i="19"/>
  <c r="M25" i="19"/>
  <c r="N25" i="19"/>
  <c r="O25" i="19"/>
  <c r="P25" i="19"/>
  <c r="F26" i="19"/>
  <c r="G26" i="19"/>
  <c r="H26" i="19"/>
  <c r="I26" i="19"/>
  <c r="I29" i="23" s="1"/>
  <c r="J26" i="19"/>
  <c r="J29" i="23" s="1"/>
  <c r="K26" i="19"/>
  <c r="K29" i="23" s="1"/>
  <c r="L26" i="19"/>
  <c r="L29" i="23" s="1"/>
  <c r="M26" i="19"/>
  <c r="M29" i="23" s="1"/>
  <c r="N26" i="19"/>
  <c r="N29" i="23" s="1"/>
  <c r="O26" i="19"/>
  <c r="O29" i="23" s="1"/>
  <c r="P26" i="19"/>
  <c r="P29" i="23" s="1"/>
  <c r="F27" i="19"/>
  <c r="G27" i="19"/>
  <c r="H27" i="19"/>
  <c r="I27" i="19"/>
  <c r="J27" i="19"/>
  <c r="K27" i="19"/>
  <c r="L27" i="19"/>
  <c r="M27" i="19"/>
  <c r="N27" i="19"/>
  <c r="O27" i="19"/>
  <c r="P27" i="19"/>
  <c r="F28" i="19"/>
  <c r="G28" i="19"/>
  <c r="H28" i="19"/>
  <c r="I28" i="19"/>
  <c r="J28" i="19"/>
  <c r="K28" i="19"/>
  <c r="L28" i="19"/>
  <c r="M28" i="19"/>
  <c r="N28" i="19"/>
  <c r="O28" i="19"/>
  <c r="P28" i="19"/>
  <c r="F29" i="19"/>
  <c r="G29" i="19"/>
  <c r="H29" i="19"/>
  <c r="I29" i="19"/>
  <c r="I32" i="23" s="1"/>
  <c r="J29" i="19"/>
  <c r="J32" i="23" s="1"/>
  <c r="K29" i="19"/>
  <c r="K32" i="23" s="1"/>
  <c r="L29" i="19"/>
  <c r="L32" i="23" s="1"/>
  <c r="M29" i="19"/>
  <c r="M32" i="23" s="1"/>
  <c r="N29" i="19"/>
  <c r="N32" i="23" s="1"/>
  <c r="O29" i="19"/>
  <c r="O32" i="23" s="1"/>
  <c r="P29" i="19"/>
  <c r="P32" i="23" s="1"/>
  <c r="F30" i="19"/>
  <c r="G30" i="19"/>
  <c r="H30" i="19"/>
  <c r="I30" i="19"/>
  <c r="I33" i="23" s="1"/>
  <c r="J30" i="19"/>
  <c r="J33" i="23" s="1"/>
  <c r="K30" i="19"/>
  <c r="K33" i="23" s="1"/>
  <c r="L30" i="19"/>
  <c r="L33" i="23" s="1"/>
  <c r="M30" i="19"/>
  <c r="M33" i="23" s="1"/>
  <c r="N30" i="19"/>
  <c r="N33" i="23" s="1"/>
  <c r="O30" i="19"/>
  <c r="O33" i="23" s="1"/>
  <c r="P30" i="19"/>
  <c r="P33" i="23" s="1"/>
  <c r="F31" i="19"/>
  <c r="G31" i="19"/>
  <c r="H31" i="19"/>
  <c r="I31" i="19"/>
  <c r="I34" i="23" s="1"/>
  <c r="J31" i="19"/>
  <c r="J34" i="23" s="1"/>
  <c r="K31" i="19"/>
  <c r="K34" i="23" s="1"/>
  <c r="L31" i="19"/>
  <c r="L34" i="23" s="1"/>
  <c r="M31" i="19"/>
  <c r="M34" i="23" s="1"/>
  <c r="N31" i="19"/>
  <c r="N34" i="23" s="1"/>
  <c r="O31" i="19"/>
  <c r="O34" i="23" s="1"/>
  <c r="P31" i="19"/>
  <c r="P34" i="23" s="1"/>
  <c r="F32" i="19"/>
  <c r="G32" i="19"/>
  <c r="H32" i="19"/>
  <c r="I32" i="19"/>
  <c r="I35" i="23" s="1"/>
  <c r="J32" i="19"/>
  <c r="J35" i="23" s="1"/>
  <c r="K32" i="19"/>
  <c r="K35" i="23" s="1"/>
  <c r="L32" i="19"/>
  <c r="L35" i="23" s="1"/>
  <c r="M32" i="19"/>
  <c r="M35" i="23" s="1"/>
  <c r="N32" i="19"/>
  <c r="N35" i="23" s="1"/>
  <c r="O32" i="19"/>
  <c r="O35" i="23" s="1"/>
  <c r="P32" i="19"/>
  <c r="P35" i="23" s="1"/>
  <c r="F33" i="19"/>
  <c r="G33" i="19"/>
  <c r="H33" i="19"/>
  <c r="I33" i="19"/>
  <c r="I36" i="23" s="1"/>
  <c r="J33" i="19"/>
  <c r="J36" i="23" s="1"/>
  <c r="K33" i="19"/>
  <c r="K36" i="23" s="1"/>
  <c r="L33" i="19"/>
  <c r="L36" i="23" s="1"/>
  <c r="M33" i="19"/>
  <c r="M36" i="23" s="1"/>
  <c r="N33" i="19"/>
  <c r="N36" i="23" s="1"/>
  <c r="O33" i="19"/>
  <c r="O36" i="23" s="1"/>
  <c r="P33" i="19"/>
  <c r="P36" i="23" s="1"/>
  <c r="F34" i="19"/>
  <c r="G34" i="19"/>
  <c r="H34" i="19"/>
  <c r="I34" i="19"/>
  <c r="J34" i="19"/>
  <c r="K34" i="19"/>
  <c r="L34" i="19"/>
  <c r="M34" i="19"/>
  <c r="N34" i="19"/>
  <c r="O34" i="19"/>
  <c r="P34" i="19"/>
  <c r="F35" i="19"/>
  <c r="G35" i="19"/>
  <c r="H35" i="19"/>
  <c r="I35" i="19"/>
  <c r="J35" i="19"/>
  <c r="K35" i="19"/>
  <c r="L35" i="19"/>
  <c r="M35" i="19"/>
  <c r="N35" i="19"/>
  <c r="O35" i="19"/>
  <c r="P35" i="19"/>
  <c r="F36" i="19"/>
  <c r="G36" i="19"/>
  <c r="H36" i="19"/>
  <c r="I36" i="19"/>
  <c r="I39" i="23" s="1"/>
  <c r="J36" i="19"/>
  <c r="J39" i="23" s="1"/>
  <c r="K36" i="19"/>
  <c r="K39" i="23" s="1"/>
  <c r="L36" i="19"/>
  <c r="L39" i="23" s="1"/>
  <c r="M36" i="19"/>
  <c r="M39" i="23" s="1"/>
  <c r="N36" i="19"/>
  <c r="N39" i="23" s="1"/>
  <c r="O36" i="19"/>
  <c r="O39" i="23" s="1"/>
  <c r="P36" i="19"/>
  <c r="P39" i="23" s="1"/>
  <c r="F37" i="19"/>
  <c r="G37" i="19"/>
  <c r="H37" i="19"/>
  <c r="I37" i="19"/>
  <c r="I40" i="23" s="1"/>
  <c r="J37" i="19"/>
  <c r="J40" i="23" s="1"/>
  <c r="K37" i="19"/>
  <c r="K40" i="23" s="1"/>
  <c r="L37" i="19"/>
  <c r="L40" i="23" s="1"/>
  <c r="M37" i="19"/>
  <c r="M40" i="23" s="1"/>
  <c r="N37" i="19"/>
  <c r="N40" i="23" s="1"/>
  <c r="O37" i="19"/>
  <c r="O40" i="23" s="1"/>
  <c r="P37" i="19"/>
  <c r="P40" i="23" s="1"/>
  <c r="F38" i="19"/>
  <c r="G38" i="19"/>
  <c r="H38" i="19"/>
  <c r="I38" i="19"/>
  <c r="I41" i="23" s="1"/>
  <c r="J38" i="19"/>
  <c r="J41" i="23" s="1"/>
  <c r="K38" i="19"/>
  <c r="K41" i="23" s="1"/>
  <c r="L38" i="19"/>
  <c r="L41" i="23" s="1"/>
  <c r="M38" i="19"/>
  <c r="M41" i="23" s="1"/>
  <c r="N38" i="19"/>
  <c r="N41" i="23" s="1"/>
  <c r="O38" i="19"/>
  <c r="O41" i="23" s="1"/>
  <c r="P38" i="19"/>
  <c r="P41" i="23" s="1"/>
  <c r="F39" i="19"/>
  <c r="G39" i="19"/>
  <c r="H39" i="19"/>
  <c r="I39" i="19"/>
  <c r="I42" i="23" s="1"/>
  <c r="J39" i="19"/>
  <c r="J42" i="23" s="1"/>
  <c r="K39" i="19"/>
  <c r="K42" i="23" s="1"/>
  <c r="L39" i="19"/>
  <c r="L42" i="23" s="1"/>
  <c r="M39" i="19"/>
  <c r="M42" i="23" s="1"/>
  <c r="N39" i="19"/>
  <c r="N42" i="23" s="1"/>
  <c r="O39" i="19"/>
  <c r="O42" i="23" s="1"/>
  <c r="P39" i="19"/>
  <c r="P42" i="23" s="1"/>
  <c r="F40" i="19"/>
  <c r="G40" i="19"/>
  <c r="H40" i="19"/>
  <c r="I40" i="19"/>
  <c r="I43" i="23" s="1"/>
  <c r="J40" i="19"/>
  <c r="J43" i="23" s="1"/>
  <c r="K40" i="19"/>
  <c r="K43" i="23" s="1"/>
  <c r="L40" i="19"/>
  <c r="L43" i="23" s="1"/>
  <c r="M40" i="19"/>
  <c r="M43" i="23" s="1"/>
  <c r="N40" i="19"/>
  <c r="N43" i="23" s="1"/>
  <c r="O40" i="19"/>
  <c r="O43" i="23" s="1"/>
  <c r="P40" i="19"/>
  <c r="P43" i="23" s="1"/>
  <c r="F41" i="19"/>
  <c r="G41" i="19"/>
  <c r="H41" i="19"/>
  <c r="I41" i="19"/>
  <c r="I44" i="23" s="1"/>
  <c r="J41" i="19"/>
  <c r="J44" i="23" s="1"/>
  <c r="K41" i="19"/>
  <c r="K44" i="23" s="1"/>
  <c r="L41" i="19"/>
  <c r="L44" i="23" s="1"/>
  <c r="M41" i="19"/>
  <c r="M44" i="23" s="1"/>
  <c r="N41" i="19"/>
  <c r="N44" i="23" s="1"/>
  <c r="O41" i="19"/>
  <c r="O44" i="23" s="1"/>
  <c r="P41" i="19"/>
  <c r="P44" i="23" s="1"/>
  <c r="F42" i="19"/>
  <c r="G42" i="19"/>
  <c r="H42" i="19"/>
  <c r="I42" i="19"/>
  <c r="I45" i="23" s="1"/>
  <c r="J42" i="19"/>
  <c r="J45" i="23" s="1"/>
  <c r="K42" i="19"/>
  <c r="K45" i="23" s="1"/>
  <c r="L42" i="19"/>
  <c r="L45" i="23" s="1"/>
  <c r="M42" i="19"/>
  <c r="M45" i="23" s="1"/>
  <c r="N42" i="19"/>
  <c r="N45" i="23" s="1"/>
  <c r="O42" i="19"/>
  <c r="O45" i="23" s="1"/>
  <c r="P42" i="19"/>
  <c r="P45" i="23" s="1"/>
  <c r="F43" i="19"/>
  <c r="G43" i="19"/>
  <c r="H43" i="19"/>
  <c r="I43" i="19"/>
  <c r="J43" i="19"/>
  <c r="K43" i="19"/>
  <c r="L43" i="19"/>
  <c r="M43" i="19"/>
  <c r="N43" i="19"/>
  <c r="O43" i="19"/>
  <c r="P43" i="19"/>
  <c r="F44" i="19"/>
  <c r="G44" i="19"/>
  <c r="H44" i="19"/>
  <c r="I44" i="19"/>
  <c r="J44" i="19"/>
  <c r="K44" i="19"/>
  <c r="L44" i="19"/>
  <c r="M44" i="19"/>
  <c r="N44" i="19"/>
  <c r="O44" i="19"/>
  <c r="P44" i="19"/>
  <c r="F45" i="19"/>
  <c r="G45" i="19"/>
  <c r="H45" i="19"/>
  <c r="I45" i="19"/>
  <c r="J45" i="19"/>
  <c r="K45" i="19"/>
  <c r="L45" i="19"/>
  <c r="M45" i="19"/>
  <c r="N45" i="19"/>
  <c r="O45" i="19"/>
  <c r="P45" i="19"/>
  <c r="F46" i="19"/>
  <c r="H46" i="19"/>
  <c r="I46" i="19"/>
  <c r="J46" i="19"/>
  <c r="K46" i="19"/>
  <c r="L46" i="19"/>
  <c r="M46" i="19"/>
  <c r="N46" i="19"/>
  <c r="O46" i="19"/>
  <c r="P46" i="19"/>
  <c r="F47" i="19"/>
  <c r="G47" i="19"/>
  <c r="H47" i="19"/>
  <c r="I47" i="19"/>
  <c r="J47" i="19"/>
  <c r="K47" i="19"/>
  <c r="L47" i="19"/>
  <c r="M47" i="19"/>
  <c r="N47" i="19"/>
  <c r="O47" i="19"/>
  <c r="P47" i="19"/>
  <c r="F48" i="19"/>
  <c r="G48" i="19"/>
  <c r="H48" i="19"/>
  <c r="I48" i="19"/>
  <c r="I51" i="23" s="1"/>
  <c r="J48" i="19"/>
  <c r="J51" i="23" s="1"/>
  <c r="K48" i="19"/>
  <c r="K51" i="23" s="1"/>
  <c r="L48" i="19"/>
  <c r="L51" i="23" s="1"/>
  <c r="M48" i="19"/>
  <c r="M51" i="23" s="1"/>
  <c r="N48" i="19"/>
  <c r="N51" i="23" s="1"/>
  <c r="O48" i="19"/>
  <c r="O51" i="23" s="1"/>
  <c r="P48" i="19"/>
  <c r="P51" i="23" s="1"/>
  <c r="F49" i="19"/>
  <c r="G49" i="19"/>
  <c r="H49" i="19"/>
  <c r="I49" i="19"/>
  <c r="J49" i="19"/>
  <c r="K49" i="19"/>
  <c r="L49" i="19"/>
  <c r="M49" i="19"/>
  <c r="N49" i="19"/>
  <c r="O49" i="19"/>
  <c r="P49" i="19"/>
  <c r="F50" i="19"/>
  <c r="D151" i="5" s="1"/>
  <c r="G50" i="19"/>
  <c r="E151" i="5" s="1"/>
  <c r="H50" i="19"/>
  <c r="F151" i="5" s="1"/>
  <c r="I50" i="19"/>
  <c r="J50" i="19"/>
  <c r="K50" i="19"/>
  <c r="L50" i="19"/>
  <c r="M50" i="19"/>
  <c r="N50" i="19"/>
  <c r="O50" i="19"/>
  <c r="P50" i="19"/>
  <c r="F51" i="19"/>
  <c r="G51" i="19"/>
  <c r="H51" i="19"/>
  <c r="I51" i="19"/>
  <c r="I54" i="23" s="1"/>
  <c r="J51" i="19"/>
  <c r="J54" i="23" s="1"/>
  <c r="K51" i="19"/>
  <c r="K54" i="23" s="1"/>
  <c r="L51" i="19"/>
  <c r="L54" i="23" s="1"/>
  <c r="M51" i="19"/>
  <c r="M54" i="23" s="1"/>
  <c r="N51" i="19"/>
  <c r="N54" i="23" s="1"/>
  <c r="O51" i="19"/>
  <c r="O54" i="23" s="1"/>
  <c r="P51" i="19"/>
  <c r="P54" i="23" s="1"/>
  <c r="F52" i="19"/>
  <c r="D117" i="5" s="1"/>
  <c r="G52" i="19"/>
  <c r="E117" i="5" s="1"/>
  <c r="H52" i="19"/>
  <c r="F117" i="5" s="1"/>
  <c r="I52" i="19"/>
  <c r="J52" i="19"/>
  <c r="K52" i="19"/>
  <c r="L52" i="19"/>
  <c r="M52" i="19"/>
  <c r="N52" i="19"/>
  <c r="O52" i="19"/>
  <c r="P52" i="19"/>
  <c r="F53" i="19"/>
  <c r="G53" i="19"/>
  <c r="H53" i="19"/>
  <c r="I53" i="19"/>
  <c r="J53" i="19"/>
  <c r="K53" i="19"/>
  <c r="L53" i="19"/>
  <c r="M53" i="19"/>
  <c r="N53" i="19"/>
  <c r="O53" i="19"/>
  <c r="P53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20" i="19"/>
  <c r="F7" i="19"/>
  <c r="G7" i="19"/>
  <c r="H7" i="19"/>
  <c r="I7" i="19"/>
  <c r="I5" i="19" s="1"/>
  <c r="J7" i="19"/>
  <c r="J5" i="19" s="1"/>
  <c r="K7" i="19"/>
  <c r="L7" i="19"/>
  <c r="M7" i="19"/>
  <c r="N7" i="19"/>
  <c r="O7" i="19"/>
  <c r="P7" i="19"/>
  <c r="F9" i="19"/>
  <c r="G9" i="19"/>
  <c r="H9" i="19"/>
  <c r="I9" i="19"/>
  <c r="J9" i="19"/>
  <c r="K9" i="19"/>
  <c r="L9" i="19"/>
  <c r="M9" i="19"/>
  <c r="N9" i="19"/>
  <c r="O9" i="19"/>
  <c r="P9" i="19"/>
  <c r="F10" i="19"/>
  <c r="G10" i="19"/>
  <c r="H10" i="19"/>
  <c r="I10" i="19"/>
  <c r="J10" i="19"/>
  <c r="K10" i="19"/>
  <c r="L10" i="19"/>
  <c r="M10" i="19"/>
  <c r="N10" i="19"/>
  <c r="O10" i="19"/>
  <c r="P10" i="19"/>
  <c r="F11" i="19"/>
  <c r="G11" i="19"/>
  <c r="H11" i="19"/>
  <c r="I11" i="19"/>
  <c r="J11" i="19"/>
  <c r="K11" i="19"/>
  <c r="L11" i="19"/>
  <c r="M11" i="19"/>
  <c r="N11" i="19"/>
  <c r="O11" i="19"/>
  <c r="P11" i="19"/>
  <c r="F12" i="19"/>
  <c r="G12" i="19"/>
  <c r="H12" i="19"/>
  <c r="I12" i="19"/>
  <c r="J12" i="19"/>
  <c r="K12" i="19"/>
  <c r="L12" i="19"/>
  <c r="M12" i="19"/>
  <c r="N12" i="19"/>
  <c r="O12" i="19"/>
  <c r="P12" i="19"/>
  <c r="F13" i="19"/>
  <c r="G13" i="19"/>
  <c r="H13" i="19"/>
  <c r="I13" i="19"/>
  <c r="J13" i="19"/>
  <c r="K13" i="19"/>
  <c r="L13" i="19"/>
  <c r="M13" i="19"/>
  <c r="N13" i="19"/>
  <c r="O13" i="19"/>
  <c r="P13" i="19"/>
  <c r="F14" i="19"/>
  <c r="G14" i="19"/>
  <c r="H14" i="19"/>
  <c r="I14" i="19"/>
  <c r="J14" i="19"/>
  <c r="K14" i="19"/>
  <c r="L14" i="19"/>
  <c r="M14" i="19"/>
  <c r="N14" i="19"/>
  <c r="O14" i="19"/>
  <c r="P14" i="19"/>
  <c r="F15" i="19"/>
  <c r="G15" i="19"/>
  <c r="H15" i="19"/>
  <c r="I15" i="19"/>
  <c r="J15" i="19"/>
  <c r="K15" i="19"/>
  <c r="L15" i="19"/>
  <c r="M15" i="19"/>
  <c r="N15" i="19"/>
  <c r="O15" i="19"/>
  <c r="P15" i="19"/>
  <c r="F16" i="19"/>
  <c r="G16" i="19"/>
  <c r="H16" i="19"/>
  <c r="I16" i="19"/>
  <c r="J16" i="19"/>
  <c r="K16" i="19"/>
  <c r="L16" i="19"/>
  <c r="M16" i="19"/>
  <c r="N16" i="19"/>
  <c r="O16" i="19"/>
  <c r="P16" i="19"/>
  <c r="F17" i="19"/>
  <c r="G17" i="19"/>
  <c r="H17" i="19"/>
  <c r="I17" i="19"/>
  <c r="J17" i="19"/>
  <c r="K17" i="19"/>
  <c r="L17" i="19"/>
  <c r="M17" i="19"/>
  <c r="N17" i="19"/>
  <c r="O17" i="19"/>
  <c r="P17" i="19"/>
  <c r="F18" i="19"/>
  <c r="G18" i="19"/>
  <c r="H18" i="19"/>
  <c r="I18" i="19"/>
  <c r="J18" i="19"/>
  <c r="K18" i="19"/>
  <c r="L18" i="19"/>
  <c r="M18" i="19"/>
  <c r="N18" i="19"/>
  <c r="O18" i="19"/>
  <c r="P18" i="19"/>
  <c r="E15" i="19"/>
  <c r="E16" i="19"/>
  <c r="E17" i="19"/>
  <c r="E18" i="19"/>
  <c r="E14" i="19"/>
  <c r="E9" i="19"/>
  <c r="E10" i="19"/>
  <c r="E11" i="19"/>
  <c r="E12" i="19"/>
  <c r="E13" i="19"/>
  <c r="H8" i="19"/>
  <c r="I8" i="19"/>
  <c r="J8" i="19"/>
  <c r="K8" i="19"/>
  <c r="L8" i="19"/>
  <c r="M8" i="19"/>
  <c r="N8" i="19"/>
  <c r="O8" i="19"/>
  <c r="P8" i="19"/>
  <c r="F8" i="19"/>
  <c r="G8" i="19"/>
  <c r="E8" i="19"/>
  <c r="E7" i="19"/>
  <c r="H58" i="19" l="1"/>
  <c r="G64" i="19"/>
  <c r="F37" i="5"/>
  <c r="N59" i="17"/>
  <c r="N60" i="17"/>
  <c r="Q39" i="23"/>
  <c r="U39" i="23" s="1"/>
  <c r="I33" i="5"/>
  <c r="K7" i="23"/>
  <c r="Q29" i="23"/>
  <c r="U28" i="23"/>
  <c r="K117" i="5"/>
  <c r="M55" i="23"/>
  <c r="M151" i="5"/>
  <c r="K151" i="5"/>
  <c r="H117" i="5"/>
  <c r="J55" i="23"/>
  <c r="J151" i="5"/>
  <c r="Q36" i="23"/>
  <c r="Q26" i="23"/>
  <c r="I151" i="5"/>
  <c r="Q45" i="23"/>
  <c r="Q35" i="23"/>
  <c r="L117" i="5"/>
  <c r="N55" i="23"/>
  <c r="Q54" i="23"/>
  <c r="H151" i="5"/>
  <c r="Q34" i="23"/>
  <c r="Q43" i="23"/>
  <c r="Q33" i="23"/>
  <c r="G117" i="5"/>
  <c r="I55" i="23"/>
  <c r="Q44" i="23"/>
  <c r="G151" i="5"/>
  <c r="Q42" i="23"/>
  <c r="Q32" i="23"/>
  <c r="J117" i="5"/>
  <c r="L55" i="23"/>
  <c r="L151" i="5"/>
  <c r="I117" i="5"/>
  <c r="K55" i="23"/>
  <c r="N117" i="5"/>
  <c r="P55" i="23"/>
  <c r="M117" i="5"/>
  <c r="O55" i="23"/>
  <c r="Q51" i="23"/>
  <c r="Q41" i="23"/>
  <c r="N151" i="5"/>
  <c r="Q40" i="23"/>
  <c r="Q10" i="19"/>
  <c r="U10" i="19" s="1"/>
  <c r="Q53" i="19"/>
  <c r="Q42" i="19"/>
  <c r="U42" i="19" s="1"/>
  <c r="Q32" i="19"/>
  <c r="U32" i="19" s="1"/>
  <c r="Q22" i="19"/>
  <c r="U22" i="19" s="1"/>
  <c r="Q14" i="19"/>
  <c r="U14" i="19" s="1"/>
  <c r="Q15" i="19"/>
  <c r="U15" i="19" s="1"/>
  <c r="Q30" i="19"/>
  <c r="U30" i="19" s="1"/>
  <c r="Q17" i="19"/>
  <c r="U17" i="19" s="1"/>
  <c r="Q16" i="19"/>
  <c r="U16" i="19" s="1"/>
  <c r="Q40" i="19"/>
  <c r="U40" i="19" s="1"/>
  <c r="Q18" i="19"/>
  <c r="U18" i="19" s="1"/>
  <c r="Q29" i="19"/>
  <c r="U29" i="19" s="1"/>
  <c r="C117" i="5"/>
  <c r="Q52" i="19"/>
  <c r="U52" i="19" s="1"/>
  <c r="J149" i="5"/>
  <c r="J111" i="5"/>
  <c r="G59" i="8"/>
  <c r="L65" i="19"/>
  <c r="O58" i="19"/>
  <c r="O63" i="19" s="1"/>
  <c r="M105" i="5"/>
  <c r="F62" i="8"/>
  <c r="M147" i="5"/>
  <c r="N145" i="5"/>
  <c r="N99" i="5"/>
  <c r="D145" i="5"/>
  <c r="D99" i="5"/>
  <c r="E143" i="5"/>
  <c r="E93" i="5"/>
  <c r="K141" i="5"/>
  <c r="K87" i="5"/>
  <c r="I139" i="5"/>
  <c r="I81" i="5"/>
  <c r="Q9" i="19"/>
  <c r="U9" i="19" s="1"/>
  <c r="E59" i="8"/>
  <c r="J75" i="5"/>
  <c r="J137" i="5"/>
  <c r="L59" i="19"/>
  <c r="L61" i="19" s="1"/>
  <c r="Q51" i="19"/>
  <c r="U51" i="19" s="1"/>
  <c r="Q41" i="19"/>
  <c r="U41" i="19" s="1"/>
  <c r="Q31" i="19"/>
  <c r="U31" i="19" s="1"/>
  <c r="Q21" i="19"/>
  <c r="U21" i="19" s="1"/>
  <c r="C39" i="5"/>
  <c r="G66" i="19"/>
  <c r="E153" i="5"/>
  <c r="H54" i="8"/>
  <c r="E123" i="5"/>
  <c r="K65" i="19"/>
  <c r="I149" i="5"/>
  <c r="G58" i="8"/>
  <c r="I111" i="5"/>
  <c r="L147" i="5"/>
  <c r="N58" i="19"/>
  <c r="N63" i="19" s="1"/>
  <c r="L105" i="5"/>
  <c r="F61" i="8"/>
  <c r="M145" i="5"/>
  <c r="M99" i="5"/>
  <c r="N93" i="5"/>
  <c r="N143" i="5"/>
  <c r="P64" i="19"/>
  <c r="D93" i="5"/>
  <c r="F64" i="19"/>
  <c r="D143" i="5"/>
  <c r="J87" i="5"/>
  <c r="J141" i="5"/>
  <c r="H139" i="5"/>
  <c r="H81" i="5"/>
  <c r="I75" i="5"/>
  <c r="K59" i="19"/>
  <c r="I137" i="5"/>
  <c r="E58" i="8"/>
  <c r="N123" i="5"/>
  <c r="N153" i="5"/>
  <c r="H63" i="8"/>
  <c r="P66" i="19"/>
  <c r="G57" i="8"/>
  <c r="H149" i="5"/>
  <c r="H111" i="5"/>
  <c r="J65" i="19"/>
  <c r="M58" i="19"/>
  <c r="M63" i="19" s="1"/>
  <c r="K147" i="5"/>
  <c r="F60" i="8"/>
  <c r="K105" i="5"/>
  <c r="L145" i="5"/>
  <c r="L99" i="5"/>
  <c r="O64" i="19"/>
  <c r="M143" i="5"/>
  <c r="M93" i="5"/>
  <c r="I87" i="5"/>
  <c r="I141" i="5"/>
  <c r="G139" i="5"/>
  <c r="G81" i="5"/>
  <c r="O66" i="19"/>
  <c r="M153" i="5"/>
  <c r="H62" i="8"/>
  <c r="M123" i="5"/>
  <c r="G56" i="8"/>
  <c r="G149" i="5"/>
  <c r="I65" i="19"/>
  <c r="G111" i="5"/>
  <c r="F59" i="8"/>
  <c r="J105" i="5"/>
  <c r="J147" i="5"/>
  <c r="L58" i="19"/>
  <c r="L63" i="19" s="1"/>
  <c r="K145" i="5"/>
  <c r="K99" i="5"/>
  <c r="L93" i="5"/>
  <c r="N64" i="19"/>
  <c r="L143" i="5"/>
  <c r="H141" i="5"/>
  <c r="H87" i="5"/>
  <c r="F139" i="5"/>
  <c r="F81" i="5"/>
  <c r="G55" i="8"/>
  <c r="F149" i="5"/>
  <c r="F111" i="5"/>
  <c r="H65" i="19"/>
  <c r="K58" i="19"/>
  <c r="K63" i="19" s="1"/>
  <c r="F58" i="8"/>
  <c r="I105" i="5"/>
  <c r="I147" i="5"/>
  <c r="J145" i="5"/>
  <c r="J99" i="5"/>
  <c r="M64" i="19"/>
  <c r="K143" i="5"/>
  <c r="K93" i="5"/>
  <c r="G141" i="5"/>
  <c r="G87" i="5"/>
  <c r="E139" i="5"/>
  <c r="E81" i="5"/>
  <c r="K153" i="5"/>
  <c r="H60" i="8"/>
  <c r="K123" i="5"/>
  <c r="M66" i="19"/>
  <c r="E149" i="5"/>
  <c r="E111" i="5"/>
  <c r="G65" i="19"/>
  <c r="G54" i="8"/>
  <c r="H105" i="5"/>
  <c r="F57" i="8"/>
  <c r="H147" i="5"/>
  <c r="J58" i="19"/>
  <c r="J63" i="19" s="1"/>
  <c r="I99" i="5"/>
  <c r="I145" i="5"/>
  <c r="J143" i="5"/>
  <c r="J93" i="5"/>
  <c r="L64" i="19"/>
  <c r="F141" i="5"/>
  <c r="F87" i="5"/>
  <c r="N81" i="5"/>
  <c r="N139" i="5"/>
  <c r="D139" i="5"/>
  <c r="D81" i="5"/>
  <c r="C151" i="5"/>
  <c r="Q50" i="19"/>
  <c r="U50" i="19" s="1"/>
  <c r="D123" i="5"/>
  <c r="H53" i="8"/>
  <c r="D153" i="5"/>
  <c r="F66" i="19"/>
  <c r="E65" i="19"/>
  <c r="G52" i="8"/>
  <c r="C111" i="5"/>
  <c r="C149" i="5"/>
  <c r="Q49" i="19"/>
  <c r="Q38" i="19"/>
  <c r="U38" i="19" s="1"/>
  <c r="Q27" i="19"/>
  <c r="U27" i="19" s="1"/>
  <c r="G5" i="19"/>
  <c r="E137" i="5"/>
  <c r="E54" i="8"/>
  <c r="E75" i="5"/>
  <c r="Q46" i="19"/>
  <c r="E58" i="19"/>
  <c r="E63" i="19" s="1"/>
  <c r="F52" i="8"/>
  <c r="C105" i="5"/>
  <c r="C147" i="5"/>
  <c r="Q36" i="19"/>
  <c r="U36" i="19" s="1"/>
  <c r="Q26" i="19"/>
  <c r="U26" i="19" s="1"/>
  <c r="L66" i="19"/>
  <c r="J153" i="5"/>
  <c r="H59" i="8"/>
  <c r="J123" i="5"/>
  <c r="G63" i="8"/>
  <c r="N111" i="5"/>
  <c r="P65" i="19"/>
  <c r="N149" i="5"/>
  <c r="G53" i="8"/>
  <c r="D111" i="5"/>
  <c r="F65" i="19"/>
  <c r="D149" i="5"/>
  <c r="I58" i="19"/>
  <c r="I63" i="19" s="1"/>
  <c r="G147" i="5"/>
  <c r="G105" i="5"/>
  <c r="F56" i="8"/>
  <c r="H99" i="5"/>
  <c r="H145" i="5"/>
  <c r="K64" i="19"/>
  <c r="I93" i="5"/>
  <c r="I143" i="5"/>
  <c r="E87" i="5"/>
  <c r="E141" i="5"/>
  <c r="M81" i="5"/>
  <c r="M139" i="5"/>
  <c r="G99" i="5"/>
  <c r="G145" i="5"/>
  <c r="H93" i="5"/>
  <c r="J64" i="19"/>
  <c r="H143" i="5"/>
  <c r="N87" i="5"/>
  <c r="N141" i="5"/>
  <c r="D87" i="5"/>
  <c r="D141" i="5"/>
  <c r="L81" i="5"/>
  <c r="L139" i="5"/>
  <c r="H75" i="5"/>
  <c r="J59" i="19"/>
  <c r="H137" i="5"/>
  <c r="E57" i="8"/>
  <c r="Q39" i="19"/>
  <c r="U39" i="19" s="1"/>
  <c r="E5" i="19"/>
  <c r="C75" i="5"/>
  <c r="C137" i="5"/>
  <c r="E52" i="8"/>
  <c r="Q7" i="19"/>
  <c r="Q48" i="19"/>
  <c r="U48" i="19" s="1"/>
  <c r="L153" i="5"/>
  <c r="H61" i="8"/>
  <c r="N66" i="19"/>
  <c r="L123" i="5"/>
  <c r="Q12" i="19"/>
  <c r="U12" i="19" s="1"/>
  <c r="M75" i="5"/>
  <c r="O59" i="19"/>
  <c r="O61" i="19" s="1"/>
  <c r="M137" i="5"/>
  <c r="E62" i="8"/>
  <c r="C81" i="5"/>
  <c r="Q20" i="19"/>
  <c r="U20" i="19" s="1"/>
  <c r="C139" i="5"/>
  <c r="Q44" i="19"/>
  <c r="U44" i="19" s="1"/>
  <c r="C93" i="5"/>
  <c r="E64" i="19"/>
  <c r="C143" i="5"/>
  <c r="Q34" i="19"/>
  <c r="U34" i="19" s="1"/>
  <c r="C12" i="5"/>
  <c r="I42" i="5" s="1"/>
  <c r="K27" i="23" s="1"/>
  <c r="Q24" i="19"/>
  <c r="U24" i="19" s="1"/>
  <c r="J66" i="19"/>
  <c r="H123" i="5"/>
  <c r="H153" i="5"/>
  <c r="H57" i="8"/>
  <c r="L111" i="5"/>
  <c r="N65" i="19"/>
  <c r="G61" i="8"/>
  <c r="L149" i="5"/>
  <c r="F54" i="8"/>
  <c r="E147" i="5"/>
  <c r="E105" i="5"/>
  <c r="G63" i="19"/>
  <c r="F99" i="5"/>
  <c r="F145" i="5"/>
  <c r="I64" i="19"/>
  <c r="G143" i="5"/>
  <c r="G93" i="5"/>
  <c r="M87" i="5"/>
  <c r="M141" i="5"/>
  <c r="K81" i="5"/>
  <c r="K139" i="5"/>
  <c r="K137" i="5"/>
  <c r="E60" i="8"/>
  <c r="K75" i="5"/>
  <c r="M59" i="19"/>
  <c r="M61" i="19" s="1"/>
  <c r="F153" i="5"/>
  <c r="H55" i="8"/>
  <c r="F123" i="5"/>
  <c r="H66" i="19"/>
  <c r="G137" i="5"/>
  <c r="E56" i="8"/>
  <c r="G75" i="5"/>
  <c r="Q28" i="19"/>
  <c r="U28" i="19" s="1"/>
  <c r="C141" i="5"/>
  <c r="C87" i="5"/>
  <c r="C14" i="5"/>
  <c r="Q8" i="19"/>
  <c r="U8" i="19" s="1"/>
  <c r="H5" i="19"/>
  <c r="F75" i="5"/>
  <c r="F137" i="5"/>
  <c r="E55" i="8"/>
  <c r="Q47" i="19"/>
  <c r="U47" i="19" s="1"/>
  <c r="Q37" i="19"/>
  <c r="U37" i="19" s="1"/>
  <c r="Q13" i="19"/>
  <c r="U13" i="19" s="1"/>
  <c r="E63" i="8"/>
  <c r="N75" i="5"/>
  <c r="N137" i="5"/>
  <c r="P59" i="19"/>
  <c r="P61" i="19" s="1"/>
  <c r="F5" i="19"/>
  <c r="E53" i="8"/>
  <c r="D75" i="5"/>
  <c r="D137" i="5"/>
  <c r="Q45" i="19"/>
  <c r="U45" i="19" s="1"/>
  <c r="Q35" i="19"/>
  <c r="U35" i="19" s="1"/>
  <c r="C145" i="5"/>
  <c r="C15" i="5"/>
  <c r="C99" i="5"/>
  <c r="Q25" i="19"/>
  <c r="U25" i="19" s="1"/>
  <c r="K66" i="19"/>
  <c r="I123" i="5"/>
  <c r="I153" i="5"/>
  <c r="H58" i="8"/>
  <c r="G62" i="8"/>
  <c r="M149" i="5"/>
  <c r="M111" i="5"/>
  <c r="O65" i="19"/>
  <c r="F55" i="8"/>
  <c r="H63" i="19"/>
  <c r="F105" i="5"/>
  <c r="F147" i="5"/>
  <c r="Q11" i="19"/>
  <c r="U11" i="19" s="1"/>
  <c r="L137" i="5"/>
  <c r="E61" i="8"/>
  <c r="L75" i="5"/>
  <c r="N59" i="19"/>
  <c r="N61" i="19" s="1"/>
  <c r="C123" i="5"/>
  <c r="C153" i="5"/>
  <c r="E66" i="19"/>
  <c r="H52" i="8"/>
  <c r="Q43" i="19"/>
  <c r="U43" i="19" s="1"/>
  <c r="Q33" i="19"/>
  <c r="U33" i="19" s="1"/>
  <c r="Q23" i="19"/>
  <c r="U23" i="19" s="1"/>
  <c r="I66" i="19"/>
  <c r="G153" i="5"/>
  <c r="H56" i="8"/>
  <c r="G123" i="5"/>
  <c r="M65" i="19"/>
  <c r="K111" i="5"/>
  <c r="G60" i="8"/>
  <c r="K149" i="5"/>
  <c r="P58" i="19"/>
  <c r="P63" i="19" s="1"/>
  <c r="F63" i="8"/>
  <c r="N105" i="5"/>
  <c r="N147" i="5"/>
  <c r="F58" i="19"/>
  <c r="F63" i="19" s="1"/>
  <c r="F53" i="8"/>
  <c r="D105" i="5"/>
  <c r="D147" i="5"/>
  <c r="E145" i="5"/>
  <c r="E99" i="5"/>
  <c r="F143" i="5"/>
  <c r="F93" i="5"/>
  <c r="H64" i="19"/>
  <c r="L87" i="5"/>
  <c r="L141" i="5"/>
  <c r="J139" i="5"/>
  <c r="J81" i="5"/>
  <c r="K17" i="16"/>
  <c r="K21" i="16" s="1"/>
  <c r="Q133" i="15"/>
  <c r="Q13" i="15" s="1"/>
  <c r="R133" i="15"/>
  <c r="R13" i="15" s="1"/>
  <c r="S133" i="15"/>
  <c r="S13" i="15" s="1"/>
  <c r="P133" i="15"/>
  <c r="P13" i="15" s="1"/>
  <c r="AD47" i="15"/>
  <c r="AD48" i="15"/>
  <c r="AH26" i="15"/>
  <c r="AI26" i="15" s="1"/>
  <c r="Q58" i="19" l="1"/>
  <c r="Q53" i="8"/>
  <c r="Q99" i="5"/>
  <c r="Q75" i="5"/>
  <c r="Q123" i="5"/>
  <c r="Q93" i="5"/>
  <c r="Q87" i="5"/>
  <c r="Q117" i="5"/>
  <c r="Q105" i="5"/>
  <c r="Q81" i="5"/>
  <c r="Q111" i="5"/>
  <c r="Q62" i="8"/>
  <c r="Q59" i="8"/>
  <c r="Q56" i="8"/>
  <c r="R62" i="8"/>
  <c r="S62" i="8"/>
  <c r="R53" i="8"/>
  <c r="S53" i="8"/>
  <c r="N60" i="8"/>
  <c r="M60" i="8"/>
  <c r="M63" i="8"/>
  <c r="N63" i="8"/>
  <c r="M56" i="8"/>
  <c r="N56" i="8"/>
  <c r="N55" i="8"/>
  <c r="M55" i="8"/>
  <c r="N52" i="8"/>
  <c r="M52" i="8"/>
  <c r="M53" i="8"/>
  <c r="N53" i="8"/>
  <c r="N61" i="8"/>
  <c r="M61" i="8"/>
  <c r="M54" i="8"/>
  <c r="N54" i="8"/>
  <c r="M59" i="8"/>
  <c r="N59" i="8"/>
  <c r="M58" i="8"/>
  <c r="N58" i="8"/>
  <c r="N57" i="8"/>
  <c r="M62" i="8"/>
  <c r="N62" i="8"/>
  <c r="U36" i="23"/>
  <c r="U32" i="23"/>
  <c r="U33" i="23"/>
  <c r="U42" i="23"/>
  <c r="U43" i="23"/>
  <c r="U35" i="23"/>
  <c r="U34" i="23"/>
  <c r="U45" i="23"/>
  <c r="U41" i="23"/>
  <c r="U51" i="23"/>
  <c r="U54" i="23"/>
  <c r="U44" i="23"/>
  <c r="Q55" i="23"/>
  <c r="U40" i="23"/>
  <c r="U26" i="23"/>
  <c r="U29" i="23"/>
  <c r="S49" i="19"/>
  <c r="U49" i="19"/>
  <c r="Q63" i="19"/>
  <c r="U46" i="19"/>
  <c r="S46" i="19"/>
  <c r="U53" i="19"/>
  <c r="S53" i="19"/>
  <c r="R25" i="19"/>
  <c r="R42" i="19"/>
  <c r="U7" i="19"/>
  <c r="R24" i="19"/>
  <c r="R29" i="19"/>
  <c r="R33" i="19"/>
  <c r="R37" i="19"/>
  <c r="R12" i="19"/>
  <c r="R43" i="19"/>
  <c r="R11" i="19"/>
  <c r="R47" i="19"/>
  <c r="R28" i="19"/>
  <c r="R8" i="19"/>
  <c r="R22" i="19"/>
  <c r="R35" i="19"/>
  <c r="R44" i="19"/>
  <c r="R39" i="19"/>
  <c r="R10" i="19"/>
  <c r="R48" i="19"/>
  <c r="R26" i="19"/>
  <c r="R30" i="19"/>
  <c r="R41" i="19"/>
  <c r="R40" i="19"/>
  <c r="R27" i="19"/>
  <c r="R38" i="19"/>
  <c r="R50" i="19"/>
  <c r="R23" i="19"/>
  <c r="R45" i="19"/>
  <c r="R13" i="19"/>
  <c r="R20" i="19"/>
  <c r="R21" i="19"/>
  <c r="R14" i="19"/>
  <c r="R15" i="19"/>
  <c r="R19" i="19"/>
  <c r="R16" i="19"/>
  <c r="R18" i="19"/>
  <c r="R17" i="19"/>
  <c r="R36" i="19"/>
  <c r="R32" i="19"/>
  <c r="R31" i="19"/>
  <c r="R34" i="19"/>
  <c r="Q64" i="19"/>
  <c r="R51" i="19"/>
  <c r="R49" i="19"/>
  <c r="Q65" i="19"/>
  <c r="O81" i="5"/>
  <c r="Q5" i="19"/>
  <c r="R46" i="19"/>
  <c r="Q66" i="19"/>
  <c r="U12" i="7"/>
  <c r="R53" i="19"/>
  <c r="R9" i="19"/>
  <c r="R52" i="19"/>
  <c r="K22" i="16"/>
  <c r="K24" i="16" s="1"/>
  <c r="K28" i="16" s="1"/>
  <c r="M133" i="15"/>
  <c r="M13" i="15" s="1"/>
  <c r="AM19" i="15"/>
  <c r="AN19" i="15" s="1"/>
  <c r="AH21" i="15"/>
  <c r="AI21" i="15" s="1"/>
  <c r="AM33" i="15"/>
  <c r="AN33" i="15" s="1"/>
  <c r="AH20" i="15"/>
  <c r="AI20" i="15" s="1"/>
  <c r="AM15" i="15"/>
  <c r="AN15" i="15" s="1"/>
  <c r="AH31" i="15"/>
  <c r="AI31" i="15" s="1"/>
  <c r="AM30" i="15"/>
  <c r="AN30" i="15" s="1"/>
  <c r="AM31" i="15"/>
  <c r="AN31" i="15" s="1"/>
  <c r="AM29" i="15"/>
  <c r="AN29" i="15" s="1"/>
  <c r="AH24" i="15"/>
  <c r="AI24" i="15" s="1"/>
  <c r="AH15" i="15"/>
  <c r="AI15" i="15" s="1"/>
  <c r="AH30" i="15"/>
  <c r="AI30" i="15" s="1"/>
  <c r="AH23" i="15"/>
  <c r="AI23" i="15" s="1"/>
  <c r="AH32" i="15"/>
  <c r="AI32" i="15" s="1"/>
  <c r="AH22" i="15"/>
  <c r="AI22" i="15" s="1"/>
  <c r="AM16" i="15"/>
  <c r="AN16" i="15" s="1"/>
  <c r="AH16" i="15"/>
  <c r="AI16" i="15" s="1"/>
  <c r="AH29" i="15"/>
  <c r="AI29" i="15" s="1"/>
  <c r="AH18" i="15"/>
  <c r="AI18" i="15" s="1"/>
  <c r="AH19" i="15"/>
  <c r="AI19" i="15" s="1"/>
  <c r="AD45" i="15"/>
  <c r="AM28" i="15"/>
  <c r="AN28" i="15" s="1"/>
  <c r="AH33" i="15"/>
  <c r="AI33" i="15" s="1"/>
  <c r="AH25" i="15"/>
  <c r="AI25" i="15" s="1"/>
  <c r="AM18" i="15"/>
  <c r="AN18" i="15" s="1"/>
  <c r="AM27" i="15"/>
  <c r="AN27" i="15" s="1"/>
  <c r="AH17" i="15"/>
  <c r="AI17" i="15" s="1"/>
  <c r="AM32" i="15"/>
  <c r="AN32" i="15" s="1"/>
  <c r="AH27" i="15"/>
  <c r="AI27" i="15" s="1"/>
  <c r="AM17" i="15"/>
  <c r="AN17" i="15" s="1"/>
  <c r="AH28" i="15"/>
  <c r="AI28" i="15" s="1"/>
  <c r="AD41" i="15"/>
  <c r="AD44" i="15"/>
  <c r="AD46" i="15"/>
  <c r="AD43" i="15"/>
  <c r="AD42" i="15"/>
  <c r="AD40" i="15"/>
  <c r="AD39" i="15"/>
  <c r="AD33" i="14" l="1"/>
  <c r="AD34" i="14"/>
  <c r="AD35" i="14"/>
  <c r="AD32" i="14"/>
  <c r="R56" i="8"/>
  <c r="S56" i="8"/>
  <c r="S59" i="8"/>
  <c r="R59" i="8"/>
  <c r="U55" i="23"/>
  <c r="AI34" i="15"/>
  <c r="AN34" i="15"/>
  <c r="AN20" i="15"/>
  <c r="AM34" i="15"/>
  <c r="AO29" i="15" s="1"/>
  <c r="AM20" i="15"/>
  <c r="AH34" i="15"/>
  <c r="AJ25" i="15" s="1"/>
  <c r="AD49" i="15"/>
  <c r="C5" i="5"/>
  <c r="J14" i="5"/>
  <c r="V10" i="5"/>
  <c r="V11" i="5"/>
  <c r="J18" i="5"/>
  <c r="J7" i="5"/>
  <c r="J8" i="5" s="1"/>
  <c r="C68" i="5" s="1"/>
  <c r="D68" i="5" s="1"/>
  <c r="E68" i="5" s="1"/>
  <c r="F68" i="5" s="1"/>
  <c r="C16" i="5"/>
  <c r="AD36" i="14" l="1"/>
  <c r="AO16" i="15"/>
  <c r="AO19" i="15"/>
  <c r="AJ26" i="15"/>
  <c r="AJ19" i="15"/>
  <c r="AJ30" i="15"/>
  <c r="AJ27" i="15"/>
  <c r="AJ23" i="15"/>
  <c r="AJ28" i="15"/>
  <c r="AJ20" i="15"/>
  <c r="AO17" i="15"/>
  <c r="AJ17" i="15"/>
  <c r="AJ18" i="15"/>
  <c r="AO28" i="15"/>
  <c r="AO15" i="15"/>
  <c r="AJ24" i="15"/>
  <c r="AO32" i="15"/>
  <c r="AJ21" i="15"/>
  <c r="AO18" i="15"/>
  <c r="AJ32" i="15"/>
  <c r="AJ31" i="15"/>
  <c r="AO30" i="15"/>
  <c r="AJ33" i="15"/>
  <c r="AO27" i="15"/>
  <c r="AJ22" i="15"/>
  <c r="AO31" i="15"/>
  <c r="AJ16" i="15"/>
  <c r="AJ15" i="15"/>
  <c r="AO33" i="15"/>
  <c r="AJ29" i="15"/>
  <c r="G68" i="5"/>
  <c r="H68" i="5" s="1"/>
  <c r="I68" i="5" s="1"/>
  <c r="J68" i="5" s="1"/>
  <c r="K68" i="5" s="1"/>
  <c r="L68" i="5" s="1"/>
  <c r="M68" i="5" s="1"/>
  <c r="N68" i="5" s="1"/>
  <c r="K12" i="23" l="1"/>
  <c r="I36" i="5"/>
  <c r="K17" i="23" s="1"/>
  <c r="G36" i="5"/>
  <c r="G33" i="5"/>
  <c r="H36" i="5"/>
  <c r="J17" i="23" s="1"/>
  <c r="H33" i="5"/>
  <c r="J12" i="23" s="1"/>
  <c r="J33" i="5"/>
  <c r="E70" i="5"/>
  <c r="F70" i="5"/>
  <c r="G70" i="5"/>
  <c r="H70" i="5"/>
  <c r="I70" i="5"/>
  <c r="J70" i="5"/>
  <c r="K70" i="5"/>
  <c r="L70" i="5"/>
  <c r="M70" i="5"/>
  <c r="N70" i="5"/>
  <c r="C70" i="5"/>
  <c r="O68" i="5"/>
  <c r="D70" i="5"/>
  <c r="AU33" i="14"/>
  <c r="H58" i="10"/>
  <c r="H62" i="10" s="1"/>
  <c r="G58" i="10"/>
  <c r="G62" i="10" s="1"/>
  <c r="E58" i="10"/>
  <c r="E62" i="10" s="1"/>
  <c r="D58" i="10"/>
  <c r="I57" i="10"/>
  <c r="I56" i="10"/>
  <c r="I55" i="10"/>
  <c r="I54" i="10"/>
  <c r="C53" i="10"/>
  <c r="C58" i="10" s="1"/>
  <c r="C62" i="10" s="1"/>
  <c r="I52" i="10"/>
  <c r="I51" i="10"/>
  <c r="I50" i="10"/>
  <c r="I49" i="10"/>
  <c r="I48" i="10"/>
  <c r="I47" i="10"/>
  <c r="I46" i="10"/>
  <c r="I45" i="10"/>
  <c r="F44" i="10"/>
  <c r="F58" i="10" s="1"/>
  <c r="F62" i="10" s="1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E4" i="10"/>
  <c r="I3" i="10"/>
  <c r="D78" i="9"/>
  <c r="D75" i="9"/>
  <c r="E72" i="9"/>
  <c r="D72" i="9"/>
  <c r="D63" i="9"/>
  <c r="D51" i="9"/>
  <c r="D39" i="9"/>
  <c r="D15" i="9"/>
  <c r="D27" i="9" s="1"/>
  <c r="I5" i="9"/>
  <c r="C51" i="8"/>
  <c r="C48" i="8"/>
  <c r="C45" i="8"/>
  <c r="I41" i="8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I8" i="7"/>
  <c r="G8" i="7"/>
  <c r="G7" i="7" s="1"/>
  <c r="G6" i="7" s="1"/>
  <c r="Q7" i="7"/>
  <c r="P7" i="7"/>
  <c r="O7" i="7"/>
  <c r="N7" i="7"/>
  <c r="M7" i="7"/>
  <c r="L7" i="7"/>
  <c r="K7" i="7"/>
  <c r="J7" i="7"/>
  <c r="I7" i="7"/>
  <c r="I6" i="7" s="1"/>
  <c r="H7" i="7"/>
  <c r="F7" i="7"/>
  <c r="E7" i="7"/>
  <c r="E6" i="7" s="1"/>
  <c r="M124" i="5"/>
  <c r="K124" i="5"/>
  <c r="N118" i="5"/>
  <c r="M118" i="5"/>
  <c r="K118" i="5"/>
  <c r="M112" i="5"/>
  <c r="J94" i="5"/>
  <c r="M88" i="5"/>
  <c r="N82" i="5"/>
  <c r="M76" i="5"/>
  <c r="C8" i="5"/>
  <c r="K112" i="5"/>
  <c r="M82" i="5"/>
  <c r="L82" i="5"/>
  <c r="F6" i="7" l="1"/>
  <c r="M6" i="7"/>
  <c r="J130" i="5" s="1"/>
  <c r="J131" i="5" s="1"/>
  <c r="N6" i="7"/>
  <c r="H42" i="7"/>
  <c r="H6" i="7"/>
  <c r="E130" i="5" s="1"/>
  <c r="L6" i="7"/>
  <c r="I130" i="5" s="1"/>
  <c r="K130" i="5"/>
  <c r="K131" i="5" s="1"/>
  <c r="N19" i="7"/>
  <c r="G62" i="23"/>
  <c r="J54" i="8"/>
  <c r="G59" i="19"/>
  <c r="F62" i="23"/>
  <c r="J53" i="8"/>
  <c r="D130" i="5"/>
  <c r="F59" i="19"/>
  <c r="E62" i="23"/>
  <c r="J52" i="8"/>
  <c r="C130" i="5"/>
  <c r="C129" i="5"/>
  <c r="E59" i="19"/>
  <c r="H62" i="23"/>
  <c r="J55" i="8"/>
  <c r="F130" i="5"/>
  <c r="H59" i="19"/>
  <c r="O6" i="7"/>
  <c r="G41" i="5"/>
  <c r="X33" i="5"/>
  <c r="I17" i="23"/>
  <c r="X36" i="5"/>
  <c r="I12" i="23"/>
  <c r="I10" i="23" s="1"/>
  <c r="I31" i="5"/>
  <c r="I39" i="5" s="1"/>
  <c r="I41" i="5"/>
  <c r="K11" i="23"/>
  <c r="K10" i="23" s="1"/>
  <c r="K27" i="5"/>
  <c r="L7" i="23"/>
  <c r="H41" i="5"/>
  <c r="J11" i="23"/>
  <c r="J10" i="23" s="1"/>
  <c r="L12" i="23"/>
  <c r="J36" i="5"/>
  <c r="L17" i="23" s="1"/>
  <c r="H31" i="5"/>
  <c r="G31" i="5"/>
  <c r="Q121" i="5"/>
  <c r="Q128" i="5"/>
  <c r="Q103" i="5"/>
  <c r="J6" i="7"/>
  <c r="Q91" i="5"/>
  <c r="Q97" i="5"/>
  <c r="O69" i="5" a="1"/>
  <c r="O69" i="5" s="1"/>
  <c r="O70" i="5" s="1"/>
  <c r="Q79" i="5"/>
  <c r="Q85" i="5"/>
  <c r="Q70" i="5"/>
  <c r="Q109" i="5"/>
  <c r="Q115" i="5"/>
  <c r="C54" i="8"/>
  <c r="M19" i="7"/>
  <c r="J82" i="5"/>
  <c r="J106" i="5"/>
  <c r="J88" i="5"/>
  <c r="K82" i="5"/>
  <c r="N94" i="5"/>
  <c r="J100" i="5"/>
  <c r="J112" i="5"/>
  <c r="K100" i="5"/>
  <c r="L124" i="5"/>
  <c r="I19" i="7"/>
  <c r="G61" i="7"/>
  <c r="F19" i="7"/>
  <c r="L100" i="5"/>
  <c r="N76" i="5"/>
  <c r="N124" i="5"/>
  <c r="M94" i="5"/>
  <c r="C60" i="8"/>
  <c r="H19" i="7"/>
  <c r="G19" i="7"/>
  <c r="K94" i="5"/>
  <c r="K88" i="5"/>
  <c r="N106" i="5"/>
  <c r="L76" i="5"/>
  <c r="L94" i="5"/>
  <c r="L88" i="5"/>
  <c r="I52" i="8"/>
  <c r="M100" i="5"/>
  <c r="K106" i="5"/>
  <c r="I76" i="5"/>
  <c r="L106" i="5"/>
  <c r="I118" i="5"/>
  <c r="K76" i="5"/>
  <c r="L118" i="5"/>
  <c r="P6" i="7"/>
  <c r="M130" i="5" s="1"/>
  <c r="M131" i="5" s="1"/>
  <c r="N100" i="5"/>
  <c r="J76" i="5"/>
  <c r="F45" i="5"/>
  <c r="N112" i="5"/>
  <c r="J118" i="5"/>
  <c r="L112" i="5"/>
  <c r="I44" i="10"/>
  <c r="I58" i="10" s="1"/>
  <c r="I62" i="10" s="1"/>
  <c r="I53" i="10"/>
  <c r="N88" i="5"/>
  <c r="M106" i="5"/>
  <c r="K6" i="7"/>
  <c r="H130" i="5" s="1"/>
  <c r="O117" i="5"/>
  <c r="J124" i="5"/>
  <c r="Q6" i="7"/>
  <c r="N130" i="5" s="1"/>
  <c r="N131" i="5" s="1"/>
  <c r="N133" i="15"/>
  <c r="E13" i="15" s="1"/>
  <c r="X31" i="5" l="1"/>
  <c r="I40" i="5"/>
  <c r="L19" i="7"/>
  <c r="I62" i="23"/>
  <c r="L130" i="5"/>
  <c r="L131" i="5" s="1"/>
  <c r="O19" i="7"/>
  <c r="C131" i="5"/>
  <c r="J56" i="8"/>
  <c r="I59" i="19"/>
  <c r="E60" i="19"/>
  <c r="E63" i="23"/>
  <c r="E64" i="23" s="1"/>
  <c r="E61" i="19"/>
  <c r="I8" i="23"/>
  <c r="K25" i="23"/>
  <c r="K36" i="5"/>
  <c r="M17" i="23" s="1"/>
  <c r="K33" i="5"/>
  <c r="K8" i="23"/>
  <c r="J31" i="5"/>
  <c r="J41" i="5"/>
  <c r="L11" i="23"/>
  <c r="L10" i="23" s="1"/>
  <c r="J8" i="23"/>
  <c r="H37" i="5"/>
  <c r="K24" i="23"/>
  <c r="M7" i="23"/>
  <c r="M12" i="23"/>
  <c r="L27" i="5"/>
  <c r="N7" i="23" s="1"/>
  <c r="G39" i="5"/>
  <c r="I24" i="23" s="1"/>
  <c r="J19" i="7"/>
  <c r="G130" i="5"/>
  <c r="O85" i="15"/>
  <c r="N13" i="15"/>
  <c r="AA18" i="14"/>
  <c r="AA19" i="14"/>
  <c r="AA24" i="14"/>
  <c r="AA21" i="14"/>
  <c r="O38" i="15"/>
  <c r="O41" i="15"/>
  <c r="O66" i="15"/>
  <c r="O103" i="15"/>
  <c r="O53" i="15"/>
  <c r="O121" i="15"/>
  <c r="O117" i="15"/>
  <c r="O79" i="15"/>
  <c r="O60" i="15"/>
  <c r="O100" i="15"/>
  <c r="O18" i="15"/>
  <c r="O36" i="15"/>
  <c r="O119" i="15"/>
  <c r="O65" i="15"/>
  <c r="O75" i="15"/>
  <c r="O46" i="15"/>
  <c r="AE35" i="15"/>
  <c r="O61" i="15"/>
  <c r="O25" i="15"/>
  <c r="O45" i="15"/>
  <c r="O124" i="15"/>
  <c r="O37" i="15"/>
  <c r="O40" i="15"/>
  <c r="O70" i="15"/>
  <c r="O68" i="15"/>
  <c r="O76" i="15"/>
  <c r="O87" i="15"/>
  <c r="O15" i="15"/>
  <c r="O49" i="15"/>
  <c r="O48" i="15"/>
  <c r="C57" i="8"/>
  <c r="E37" i="5"/>
  <c r="E39" i="5"/>
  <c r="G37" i="5"/>
  <c r="C37" i="5"/>
  <c r="G52" i="5"/>
  <c r="I53" i="23" s="1"/>
  <c r="G49" i="5"/>
  <c r="I50" i="23" s="1"/>
  <c r="E52" i="5"/>
  <c r="E49" i="5"/>
  <c r="C42" i="5"/>
  <c r="D42" i="5"/>
  <c r="E74" i="5"/>
  <c r="E76" i="5" s="1"/>
  <c r="E136" i="5"/>
  <c r="AA22" i="14"/>
  <c r="O116" i="15"/>
  <c r="O107" i="15"/>
  <c r="O84" i="15"/>
  <c r="O33" i="15"/>
  <c r="O56" i="15"/>
  <c r="O44" i="15"/>
  <c r="O87" i="5"/>
  <c r="O108" i="15"/>
  <c r="O105" i="15"/>
  <c r="O98" i="15"/>
  <c r="O30" i="15"/>
  <c r="K19" i="7"/>
  <c r="O99" i="15"/>
  <c r="O67" i="15"/>
  <c r="O82" i="15"/>
  <c r="O74" i="15"/>
  <c r="AA20" i="14"/>
  <c r="O51" i="15"/>
  <c r="O97" i="15"/>
  <c r="O42" i="15"/>
  <c r="O112" i="15"/>
  <c r="O110" i="15"/>
  <c r="O118" i="15"/>
  <c r="O21" i="15"/>
  <c r="O55" i="15"/>
  <c r="O64" i="15"/>
  <c r="O92" i="15"/>
  <c r="O39" i="15"/>
  <c r="O28" i="15"/>
  <c r="O120" i="15"/>
  <c r="O69" i="15"/>
  <c r="O115" i="15"/>
  <c r="O105" i="5"/>
  <c r="O59" i="15"/>
  <c r="F42" i="5"/>
  <c r="H42" i="5"/>
  <c r="J27" i="23" s="1"/>
  <c r="G42" i="5"/>
  <c r="I27" i="23" s="1"/>
  <c r="K42" i="5"/>
  <c r="M27" i="23" s="1"/>
  <c r="E42" i="5"/>
  <c r="L42" i="5"/>
  <c r="N27" i="23" s="1"/>
  <c r="J42" i="5"/>
  <c r="L27" i="23" s="1"/>
  <c r="N42" i="5"/>
  <c r="P27" i="23" s="1"/>
  <c r="M42" i="5"/>
  <c r="O27" i="23" s="1"/>
  <c r="O86" i="15"/>
  <c r="O130" i="15"/>
  <c r="O72" i="15"/>
  <c r="AA23" i="14"/>
  <c r="O31" i="15"/>
  <c r="O126" i="15"/>
  <c r="O32" i="15"/>
  <c r="O73" i="15"/>
  <c r="G45" i="5"/>
  <c r="I31" i="23" s="1"/>
  <c r="M45" i="5"/>
  <c r="O31" i="23" s="1"/>
  <c r="L45" i="5"/>
  <c r="N31" i="23" s="1"/>
  <c r="E45" i="5"/>
  <c r="D45" i="5"/>
  <c r="C45" i="5"/>
  <c r="N45" i="5"/>
  <c r="P31" i="23" s="1"/>
  <c r="I45" i="5"/>
  <c r="K31" i="23" s="1"/>
  <c r="H45" i="5"/>
  <c r="J31" i="23" s="1"/>
  <c r="K45" i="5"/>
  <c r="M31" i="23" s="1"/>
  <c r="J45" i="5"/>
  <c r="L31" i="23" s="1"/>
  <c r="O80" i="15"/>
  <c r="O57" i="15"/>
  <c r="O78" i="15"/>
  <c r="O90" i="15"/>
  <c r="O113" i="15"/>
  <c r="O131" i="15"/>
  <c r="O123" i="15"/>
  <c r="O20" i="15"/>
  <c r="O122" i="15"/>
  <c r="O101" i="15"/>
  <c r="O71" i="15"/>
  <c r="O52" i="15"/>
  <c r="O24" i="15"/>
  <c r="O75" i="5"/>
  <c r="AA17" i="14"/>
  <c r="R6" i="7"/>
  <c r="U6" i="7" s="1"/>
  <c r="Q19" i="7"/>
  <c r="O104" i="15"/>
  <c r="O58" i="15"/>
  <c r="O99" i="5"/>
  <c r="AA16" i="14"/>
  <c r="O125" i="15"/>
  <c r="O93" i="5"/>
  <c r="L50" i="5"/>
  <c r="D50" i="5"/>
  <c r="N50" i="5"/>
  <c r="C50" i="5"/>
  <c r="G50" i="5"/>
  <c r="F50" i="5"/>
  <c r="K50" i="5"/>
  <c r="J50" i="5"/>
  <c r="E50" i="5"/>
  <c r="M50" i="5"/>
  <c r="I50" i="5"/>
  <c r="H50" i="5"/>
  <c r="K47" i="5"/>
  <c r="M38" i="23" s="1"/>
  <c r="I47" i="5"/>
  <c r="K38" i="23" s="1"/>
  <c r="H47" i="5"/>
  <c r="J38" i="23" s="1"/>
  <c r="M47" i="5"/>
  <c r="O38" i="23" s="1"/>
  <c r="L47" i="5"/>
  <c r="N38" i="23" s="1"/>
  <c r="N47" i="5"/>
  <c r="P38" i="23" s="1"/>
  <c r="F47" i="5"/>
  <c r="C47" i="5"/>
  <c r="J47" i="5"/>
  <c r="L38" i="23" s="1"/>
  <c r="G47" i="5"/>
  <c r="I38" i="23" s="1"/>
  <c r="E47" i="5"/>
  <c r="D47" i="5"/>
  <c r="O43" i="15"/>
  <c r="O109" i="15"/>
  <c r="O27" i="15"/>
  <c r="C63" i="8"/>
  <c r="G66" i="7"/>
  <c r="H66" i="7" s="1"/>
  <c r="G64" i="7"/>
  <c r="H64" i="7" s="1"/>
  <c r="G67" i="7"/>
  <c r="H67" i="7" s="1"/>
  <c r="G65" i="7"/>
  <c r="H65" i="7" s="1"/>
  <c r="G68" i="7"/>
  <c r="H68" i="7" s="1"/>
  <c r="G69" i="7"/>
  <c r="H69" i="7" s="1"/>
  <c r="G62" i="7"/>
  <c r="H62" i="7" s="1"/>
  <c r="G63" i="7"/>
  <c r="H63" i="7" s="1"/>
  <c r="M43" i="5"/>
  <c r="C43" i="5"/>
  <c r="F43" i="5"/>
  <c r="E43" i="5"/>
  <c r="I43" i="5"/>
  <c r="H43" i="5"/>
  <c r="K43" i="5"/>
  <c r="G43" i="5"/>
  <c r="J43" i="5"/>
  <c r="N43" i="5"/>
  <c r="L43" i="5"/>
  <c r="D43" i="5"/>
  <c r="O114" i="15"/>
  <c r="O127" i="15"/>
  <c r="O93" i="15"/>
  <c r="O19" i="15"/>
  <c r="O22" i="15"/>
  <c r="O47" i="15"/>
  <c r="O34" i="15"/>
  <c r="O106" i="15"/>
  <c r="O83" i="15"/>
  <c r="O26" i="15"/>
  <c r="O89" i="15"/>
  <c r="O17" i="15"/>
  <c r="O62" i="15"/>
  <c r="O94" i="15"/>
  <c r="O129" i="15"/>
  <c r="O29" i="15"/>
  <c r="O63" i="15"/>
  <c r="P19" i="7"/>
  <c r="O23" i="15"/>
  <c r="O132" i="15"/>
  <c r="O128" i="15"/>
  <c r="I53" i="8"/>
  <c r="K23" i="23" l="1"/>
  <c r="K30" i="23" s="1"/>
  <c r="O130" i="5"/>
  <c r="Q130" i="5"/>
  <c r="K37" i="23"/>
  <c r="K67" i="23" s="1"/>
  <c r="Q38" i="23"/>
  <c r="U38" i="23" s="1"/>
  <c r="Q27" i="23"/>
  <c r="U27" i="23" s="1"/>
  <c r="Q31" i="23"/>
  <c r="U31" i="23" s="1"/>
  <c r="K31" i="5"/>
  <c r="K49" i="5" s="1"/>
  <c r="M50" i="23" s="1"/>
  <c r="L8" i="23"/>
  <c r="K49" i="23"/>
  <c r="L33" i="5"/>
  <c r="N12" i="23" s="1"/>
  <c r="M11" i="23"/>
  <c r="M10" i="23" s="1"/>
  <c r="K41" i="5"/>
  <c r="L36" i="5"/>
  <c r="N17" i="23" s="1"/>
  <c r="M27" i="5"/>
  <c r="O7" i="23" s="1"/>
  <c r="F40" i="5"/>
  <c r="D52" i="5"/>
  <c r="D116" i="5" s="1"/>
  <c r="D118" i="5" s="1"/>
  <c r="AD30" i="15"/>
  <c r="AD34" i="15"/>
  <c r="AD20" i="15"/>
  <c r="AD22" i="15"/>
  <c r="AD33" i="15"/>
  <c r="AD28" i="15"/>
  <c r="AD19" i="15"/>
  <c r="AD26" i="15"/>
  <c r="AD32" i="15"/>
  <c r="AD31" i="15"/>
  <c r="AD27" i="15"/>
  <c r="AD16" i="15"/>
  <c r="AD17" i="15"/>
  <c r="AD21" i="15"/>
  <c r="AD24" i="15"/>
  <c r="AD29" i="15"/>
  <c r="AD18" i="15"/>
  <c r="AD15" i="15"/>
  <c r="AD25" i="15"/>
  <c r="AD23" i="15"/>
  <c r="O133" i="15"/>
  <c r="K37" i="5"/>
  <c r="D37" i="5"/>
  <c r="D39" i="5"/>
  <c r="H39" i="5"/>
  <c r="J24" i="23" s="1"/>
  <c r="J37" i="5"/>
  <c r="J39" i="5"/>
  <c r="L24" i="23" s="1"/>
  <c r="I37" i="5"/>
  <c r="L40" i="5"/>
  <c r="F39" i="5"/>
  <c r="F57" i="5"/>
  <c r="F58" i="5" s="1"/>
  <c r="C150" i="5"/>
  <c r="C49" i="5"/>
  <c r="F49" i="5"/>
  <c r="F52" i="5"/>
  <c r="F150" i="5" s="1"/>
  <c r="J52" i="5"/>
  <c r="J49" i="5"/>
  <c r="L50" i="23" s="1"/>
  <c r="D49" i="5"/>
  <c r="H52" i="5"/>
  <c r="H49" i="5"/>
  <c r="J50" i="23" s="1"/>
  <c r="I49" i="5"/>
  <c r="K50" i="23" s="1"/>
  <c r="I52" i="5"/>
  <c r="E57" i="5"/>
  <c r="E58" i="5" s="1"/>
  <c r="J144" i="5"/>
  <c r="J98" i="5"/>
  <c r="F136" i="5"/>
  <c r="F74" i="5"/>
  <c r="I57" i="5"/>
  <c r="I58" i="5" s="1"/>
  <c r="I74" i="5"/>
  <c r="I136" i="5"/>
  <c r="O45" i="5"/>
  <c r="O86" i="5" s="1"/>
  <c r="O88" i="5" s="1"/>
  <c r="C86" i="5"/>
  <c r="C140" i="5"/>
  <c r="O47" i="5"/>
  <c r="O98" i="5" s="1"/>
  <c r="O100" i="5" s="1"/>
  <c r="C144" i="5"/>
  <c r="C98" i="5"/>
  <c r="D140" i="5"/>
  <c r="D86" i="5"/>
  <c r="D88" i="5" s="1"/>
  <c r="E116" i="5"/>
  <c r="E118" i="5" s="1"/>
  <c r="E150" i="5"/>
  <c r="J136" i="5"/>
  <c r="J74" i="5"/>
  <c r="E140" i="5"/>
  <c r="E86" i="5"/>
  <c r="E88" i="5" s="1"/>
  <c r="L140" i="5"/>
  <c r="L86" i="5"/>
  <c r="O111" i="5"/>
  <c r="L144" i="5"/>
  <c r="L98" i="5"/>
  <c r="J140" i="5"/>
  <c r="J86" i="5"/>
  <c r="M86" i="5"/>
  <c r="M140" i="5"/>
  <c r="K86" i="5"/>
  <c r="K140" i="5"/>
  <c r="G86" i="5"/>
  <c r="G88" i="5" s="1"/>
  <c r="G140" i="5"/>
  <c r="G136" i="5"/>
  <c r="G74" i="5"/>
  <c r="G76" i="5" s="1"/>
  <c r="H144" i="5"/>
  <c r="H98" i="5"/>
  <c r="H100" i="5" s="1"/>
  <c r="F140" i="5"/>
  <c r="F86" i="5"/>
  <c r="F88" i="5" s="1"/>
  <c r="M144" i="5"/>
  <c r="M98" i="5"/>
  <c r="D98" i="5"/>
  <c r="D100" i="5" s="1"/>
  <c r="D144" i="5"/>
  <c r="I98" i="5"/>
  <c r="I100" i="5" s="1"/>
  <c r="I144" i="5"/>
  <c r="O50" i="5"/>
  <c r="F144" i="5"/>
  <c r="F98" i="5"/>
  <c r="F100" i="5" s="1"/>
  <c r="O43" i="5"/>
  <c r="N144" i="5"/>
  <c r="N98" i="5"/>
  <c r="H86" i="5"/>
  <c r="H88" i="5" s="1"/>
  <c r="H140" i="5"/>
  <c r="H74" i="5"/>
  <c r="H76" i="5" s="1"/>
  <c r="H136" i="5"/>
  <c r="O42" i="5"/>
  <c r="G150" i="5"/>
  <c r="G116" i="5"/>
  <c r="G118" i="5" s="1"/>
  <c r="E144" i="5"/>
  <c r="E98" i="5"/>
  <c r="E100" i="5" s="1"/>
  <c r="K144" i="5"/>
  <c r="K98" i="5"/>
  <c r="I86" i="5"/>
  <c r="I88" i="5" s="1"/>
  <c r="I140" i="5"/>
  <c r="I54" i="8"/>
  <c r="I55" i="8" s="1"/>
  <c r="I56" i="8" s="1"/>
  <c r="I57" i="8" s="1"/>
  <c r="I58" i="8" s="1"/>
  <c r="I59" i="8" s="1"/>
  <c r="I60" i="8" s="1"/>
  <c r="I61" i="8" s="1"/>
  <c r="I62" i="8" s="1"/>
  <c r="I63" i="8" s="1"/>
  <c r="G144" i="5"/>
  <c r="G98" i="5"/>
  <c r="G100" i="5" s="1"/>
  <c r="D136" i="5"/>
  <c r="D57" i="5"/>
  <c r="D58" i="5" s="1"/>
  <c r="D74" i="5"/>
  <c r="D76" i="5" s="1"/>
  <c r="C136" i="5"/>
  <c r="C57" i="5"/>
  <c r="C74" i="5"/>
  <c r="N140" i="5"/>
  <c r="N86" i="5"/>
  <c r="E38" i="5"/>
  <c r="Q86" i="5" l="1"/>
  <c r="K136" i="5"/>
  <c r="K39" i="5"/>
  <c r="M24" i="23" s="1"/>
  <c r="Q98" i="5"/>
  <c r="F76" i="5"/>
  <c r="Q74" i="5"/>
  <c r="K74" i="5"/>
  <c r="K52" i="5"/>
  <c r="K150" i="5" s="1"/>
  <c r="I116" i="5"/>
  <c r="K53" i="23"/>
  <c r="J116" i="5"/>
  <c r="L53" i="23"/>
  <c r="H116" i="5"/>
  <c r="H118" i="5" s="1"/>
  <c r="J53" i="23"/>
  <c r="K61" i="23"/>
  <c r="K66" i="23" s="1"/>
  <c r="K52" i="23"/>
  <c r="L31" i="5"/>
  <c r="L52" i="5" s="1"/>
  <c r="L116" i="5" s="1"/>
  <c r="N11" i="23"/>
  <c r="N10" i="23" s="1"/>
  <c r="L41" i="5"/>
  <c r="M36" i="5"/>
  <c r="O17" i="23" s="1"/>
  <c r="N27" i="5"/>
  <c r="P7" i="23" s="1"/>
  <c r="J57" i="5"/>
  <c r="J58" i="5" s="1"/>
  <c r="L25" i="23"/>
  <c r="L23" i="23" s="1"/>
  <c r="L30" i="23" s="1"/>
  <c r="L37" i="23" s="1"/>
  <c r="G57" i="5"/>
  <c r="G58" i="5" s="1"/>
  <c r="I25" i="23"/>
  <c r="I23" i="23" s="1"/>
  <c r="I30" i="23" s="1"/>
  <c r="I37" i="23" s="1"/>
  <c r="H57" i="5"/>
  <c r="H58" i="5" s="1"/>
  <c r="J25" i="23"/>
  <c r="J23" i="23" s="1"/>
  <c r="J30" i="23" s="1"/>
  <c r="J37" i="23" s="1"/>
  <c r="N25" i="23"/>
  <c r="K57" i="5"/>
  <c r="K58" i="5" s="1"/>
  <c r="M25" i="23"/>
  <c r="M23" i="23" s="1"/>
  <c r="M30" i="23" s="1"/>
  <c r="M8" i="23"/>
  <c r="M33" i="5"/>
  <c r="O12" i="23" s="1"/>
  <c r="AD35" i="15"/>
  <c r="J38" i="5"/>
  <c r="J44" i="5" s="1"/>
  <c r="J46" i="5" s="1"/>
  <c r="J142" i="5" s="1"/>
  <c r="O40" i="5"/>
  <c r="F38" i="5"/>
  <c r="F44" i="5" s="1"/>
  <c r="F46" i="5" s="1"/>
  <c r="F48" i="5" s="1"/>
  <c r="F51" i="5" s="1"/>
  <c r="F53" i="5" s="1"/>
  <c r="F116" i="5"/>
  <c r="C116" i="5"/>
  <c r="C118" i="5" s="1"/>
  <c r="D150" i="5"/>
  <c r="H150" i="5"/>
  <c r="J150" i="5"/>
  <c r="I150" i="5"/>
  <c r="H38" i="5"/>
  <c r="H44" i="5" s="1"/>
  <c r="H46" i="5" s="1"/>
  <c r="H142" i="5" s="1"/>
  <c r="G38" i="5"/>
  <c r="G44" i="5" s="1"/>
  <c r="G46" i="5" s="1"/>
  <c r="C100" i="5"/>
  <c r="Q100" i="5"/>
  <c r="C88" i="5"/>
  <c r="Q88" i="5"/>
  <c r="C76" i="5"/>
  <c r="Q76" i="5"/>
  <c r="D38" i="5"/>
  <c r="D138" i="5" s="1"/>
  <c r="I38" i="5"/>
  <c r="I44" i="5" s="1"/>
  <c r="I46" i="5" s="1"/>
  <c r="I142" i="5" s="1"/>
  <c r="C58" i="5"/>
  <c r="C38" i="5"/>
  <c r="U13" i="7"/>
  <c r="U9" i="7" s="1"/>
  <c r="U14" i="7" s="1"/>
  <c r="O123" i="5"/>
  <c r="E80" i="5"/>
  <c r="E82" i="5" s="1"/>
  <c r="E138" i="5"/>
  <c r="E44" i="5"/>
  <c r="E46" i="5" s="1"/>
  <c r="K38" i="5"/>
  <c r="K116" i="5" l="1"/>
  <c r="M53" i="23"/>
  <c r="F118" i="5"/>
  <c r="Q116" i="5"/>
  <c r="Q118" i="5" s="1"/>
  <c r="O27" i="5"/>
  <c r="N33" i="5"/>
  <c r="N36" i="5"/>
  <c r="O36" i="5" s="1"/>
  <c r="N8" i="23"/>
  <c r="L49" i="5"/>
  <c r="N50" i="23" s="1"/>
  <c r="L57" i="5"/>
  <c r="L58" i="5" s="1"/>
  <c r="K68" i="23"/>
  <c r="K56" i="23"/>
  <c r="K69" i="23" s="1"/>
  <c r="M41" i="5"/>
  <c r="L74" i="5"/>
  <c r="L136" i="5"/>
  <c r="L39" i="5"/>
  <c r="L37" i="5"/>
  <c r="P11" i="23"/>
  <c r="N41" i="5"/>
  <c r="J67" i="23"/>
  <c r="J49" i="23"/>
  <c r="J138" i="5"/>
  <c r="I67" i="23"/>
  <c r="I49" i="23"/>
  <c r="J80" i="5"/>
  <c r="L67" i="23"/>
  <c r="L49" i="23"/>
  <c r="M37" i="23"/>
  <c r="O33" i="5"/>
  <c r="P12" i="23"/>
  <c r="Q12" i="23" s="1"/>
  <c r="M31" i="5"/>
  <c r="O11" i="23"/>
  <c r="L150" i="5"/>
  <c r="N53" i="23"/>
  <c r="P17" i="23"/>
  <c r="Q17" i="23" s="1"/>
  <c r="N31" i="5"/>
  <c r="O32" i="5"/>
  <c r="J59" i="5"/>
  <c r="J92" i="5"/>
  <c r="C80" i="5"/>
  <c r="J48" i="5"/>
  <c r="J51" i="5" s="1"/>
  <c r="F142" i="5"/>
  <c r="H80" i="5"/>
  <c r="H82" i="5" s="1"/>
  <c r="H59" i="5"/>
  <c r="G80" i="5"/>
  <c r="G82" i="5" s="1"/>
  <c r="H138" i="5"/>
  <c r="G138" i="5"/>
  <c r="D44" i="5"/>
  <c r="D46" i="5" s="1"/>
  <c r="D142" i="5" s="1"/>
  <c r="I59" i="5"/>
  <c r="H48" i="5"/>
  <c r="H104" i="5" s="1"/>
  <c r="H106" i="5" s="1"/>
  <c r="F80" i="5"/>
  <c r="H92" i="5"/>
  <c r="H94" i="5" s="1"/>
  <c r="D80" i="5"/>
  <c r="D82" i="5" s="1"/>
  <c r="I92" i="5"/>
  <c r="I94" i="5" s="1"/>
  <c r="F59" i="5"/>
  <c r="F104" i="5"/>
  <c r="F92" i="5"/>
  <c r="I48" i="5"/>
  <c r="I146" i="5" s="1"/>
  <c r="I138" i="5"/>
  <c r="F138" i="5"/>
  <c r="I80" i="5"/>
  <c r="I82" i="5" s="1"/>
  <c r="C138" i="5"/>
  <c r="C44" i="5"/>
  <c r="U10" i="7"/>
  <c r="K138" i="5"/>
  <c r="K80" i="5"/>
  <c r="K44" i="5"/>
  <c r="K46" i="5" s="1"/>
  <c r="E142" i="5"/>
  <c r="E92" i="5"/>
  <c r="E94" i="5" s="1"/>
  <c r="E59" i="5"/>
  <c r="E48" i="5"/>
  <c r="G48" i="5"/>
  <c r="G59" i="5"/>
  <c r="G142" i="5"/>
  <c r="G92" i="5"/>
  <c r="G94" i="5" s="1"/>
  <c r="F94" i="5" l="1"/>
  <c r="F106" i="5"/>
  <c r="F82" i="5"/>
  <c r="Q80" i="5"/>
  <c r="Q82" i="5" s="1"/>
  <c r="N24" i="23"/>
  <c r="N23" i="23" s="1"/>
  <c r="N30" i="23" s="1"/>
  <c r="N37" i="23" s="1"/>
  <c r="L38" i="5"/>
  <c r="P10" i="23"/>
  <c r="P8" i="23" s="1"/>
  <c r="L52" i="23"/>
  <c r="L61" i="23"/>
  <c r="L66" i="23" s="1"/>
  <c r="I61" i="23"/>
  <c r="I66" i="23" s="1"/>
  <c r="I52" i="23"/>
  <c r="J52" i="23"/>
  <c r="J61" i="23"/>
  <c r="J66" i="23" s="1"/>
  <c r="O10" i="23"/>
  <c r="Q11" i="23"/>
  <c r="M74" i="5"/>
  <c r="M37" i="5"/>
  <c r="M136" i="5"/>
  <c r="M49" i="5"/>
  <c r="O50" i="23" s="1"/>
  <c r="M52" i="5"/>
  <c r="M39" i="5"/>
  <c r="U17" i="23"/>
  <c r="M49" i="23"/>
  <c r="M67" i="23"/>
  <c r="U12" i="23"/>
  <c r="N39" i="5"/>
  <c r="P24" i="23" s="1"/>
  <c r="N136" i="5"/>
  <c r="N37" i="5"/>
  <c r="O31" i="5"/>
  <c r="N74" i="5"/>
  <c r="N49" i="5"/>
  <c r="P25" i="23"/>
  <c r="N52" i="5"/>
  <c r="P53" i="23" s="1"/>
  <c r="J146" i="5"/>
  <c r="J104" i="5"/>
  <c r="D59" i="5"/>
  <c r="D48" i="5"/>
  <c r="D146" i="5" s="1"/>
  <c r="D92" i="5"/>
  <c r="D94" i="5" s="1"/>
  <c r="I104" i="5"/>
  <c r="I106" i="5" s="1"/>
  <c r="I51" i="5"/>
  <c r="I110" i="5" s="1"/>
  <c r="I112" i="5" s="1"/>
  <c r="H51" i="5"/>
  <c r="H53" i="5" s="1"/>
  <c r="J62" i="23" s="1"/>
  <c r="H146" i="5"/>
  <c r="F146" i="5"/>
  <c r="F110" i="5"/>
  <c r="C82" i="5"/>
  <c r="K142" i="5"/>
  <c r="K48" i="5"/>
  <c r="K59" i="5"/>
  <c r="K92" i="5"/>
  <c r="J110" i="5"/>
  <c r="J53" i="5"/>
  <c r="J60" i="5"/>
  <c r="J148" i="5"/>
  <c r="G146" i="5"/>
  <c r="G104" i="5"/>
  <c r="G106" i="5" s="1"/>
  <c r="G51" i="5"/>
  <c r="C46" i="5"/>
  <c r="E146" i="5"/>
  <c r="E51" i="5"/>
  <c r="E104" i="5"/>
  <c r="E106" i="5" s="1"/>
  <c r="F112" i="5" l="1"/>
  <c r="O74" i="5"/>
  <c r="O76" i="5" s="1"/>
  <c r="O39" i="5"/>
  <c r="L80" i="5"/>
  <c r="L138" i="5"/>
  <c r="L44" i="5"/>
  <c r="L46" i="5" s="1"/>
  <c r="N67" i="23"/>
  <c r="N49" i="23"/>
  <c r="J68" i="23"/>
  <c r="J56" i="23"/>
  <c r="J69" i="23" s="1"/>
  <c r="I56" i="23"/>
  <c r="I69" i="23" s="1"/>
  <c r="I68" i="23"/>
  <c r="L68" i="23"/>
  <c r="L56" i="23"/>
  <c r="L69" i="23" s="1"/>
  <c r="U11" i="23"/>
  <c r="M57" i="5"/>
  <c r="M58" i="5" s="1"/>
  <c r="O25" i="23"/>
  <c r="Q25" i="23" s="1"/>
  <c r="O8" i="23"/>
  <c r="Q8" i="23" s="1"/>
  <c r="Q10" i="23"/>
  <c r="P23" i="23"/>
  <c r="P30" i="23" s="1"/>
  <c r="P37" i="23" s="1"/>
  <c r="O24" i="23"/>
  <c r="M38" i="5"/>
  <c r="O49" i="5"/>
  <c r="P50" i="23"/>
  <c r="Q50" i="23" s="1"/>
  <c r="M61" i="23"/>
  <c r="M66" i="23" s="1"/>
  <c r="M52" i="23"/>
  <c r="O37" i="5"/>
  <c r="M116" i="5"/>
  <c r="O53" i="23"/>
  <c r="Q53" i="23" s="1"/>
  <c r="M150" i="5"/>
  <c r="N116" i="5"/>
  <c r="O52" i="5"/>
  <c r="O116" i="5" s="1"/>
  <c r="O118" i="5" s="1"/>
  <c r="N150" i="5"/>
  <c r="N57" i="5"/>
  <c r="O41" i="5"/>
  <c r="N38" i="5"/>
  <c r="I53" i="5"/>
  <c r="I152" i="5" s="1"/>
  <c r="D104" i="5"/>
  <c r="D106" i="5" s="1"/>
  <c r="D51" i="5"/>
  <c r="D148" i="5" s="1"/>
  <c r="H110" i="5"/>
  <c r="H112" i="5" s="1"/>
  <c r="I60" i="5"/>
  <c r="H148" i="5"/>
  <c r="I148" i="5"/>
  <c r="F60" i="5"/>
  <c r="H60" i="5"/>
  <c r="F148" i="5"/>
  <c r="G148" i="5"/>
  <c r="G110" i="5"/>
  <c r="G112" i="5" s="1"/>
  <c r="G53" i="5"/>
  <c r="G60" i="5"/>
  <c r="K146" i="5"/>
  <c r="K104" i="5"/>
  <c r="K51" i="5"/>
  <c r="E60" i="5"/>
  <c r="E148" i="5"/>
  <c r="E110" i="5"/>
  <c r="E112" i="5" s="1"/>
  <c r="E53" i="5"/>
  <c r="J152" i="5"/>
  <c r="J61" i="5"/>
  <c r="J122" i="5"/>
  <c r="F122" i="5"/>
  <c r="F61" i="5"/>
  <c r="F152" i="5"/>
  <c r="H61" i="5"/>
  <c r="H122" i="5"/>
  <c r="H124" i="5" s="1"/>
  <c r="H152" i="5"/>
  <c r="C92" i="5"/>
  <c r="Q92" i="5" s="1"/>
  <c r="C59" i="5"/>
  <c r="C48" i="5"/>
  <c r="C142" i="5"/>
  <c r="K62" i="23" l="1"/>
  <c r="F124" i="5"/>
  <c r="N52" i="23"/>
  <c r="N61" i="23"/>
  <c r="N66" i="23" s="1"/>
  <c r="L142" i="5"/>
  <c r="L59" i="5"/>
  <c r="L92" i="5"/>
  <c r="L48" i="5"/>
  <c r="D110" i="5"/>
  <c r="D112" i="5" s="1"/>
  <c r="D53" i="5"/>
  <c r="D60" i="5"/>
  <c r="U50" i="23"/>
  <c r="R50" i="23"/>
  <c r="P49" i="23"/>
  <c r="P67" i="23"/>
  <c r="R46" i="23"/>
  <c r="R13" i="23"/>
  <c r="R34" i="23"/>
  <c r="R42" i="23"/>
  <c r="R48" i="23"/>
  <c r="R26" i="23"/>
  <c r="R47" i="23"/>
  <c r="R32" i="23"/>
  <c r="R54" i="23"/>
  <c r="R19" i="23"/>
  <c r="R22" i="23"/>
  <c r="R20" i="23"/>
  <c r="R38" i="23"/>
  <c r="R39" i="23"/>
  <c r="R51" i="23"/>
  <c r="R44" i="23"/>
  <c r="R31" i="23"/>
  <c r="R36" i="23"/>
  <c r="R35" i="23"/>
  <c r="R15" i="23"/>
  <c r="R40" i="23"/>
  <c r="R16" i="23"/>
  <c r="R45" i="23"/>
  <c r="R43" i="23"/>
  <c r="R27" i="23"/>
  <c r="R41" i="23"/>
  <c r="R33" i="23"/>
  <c r="R14" i="23"/>
  <c r="R28" i="23"/>
  <c r="U10" i="23"/>
  <c r="R29" i="23"/>
  <c r="R18" i="23"/>
  <c r="R21" i="23"/>
  <c r="R55" i="23"/>
  <c r="R17" i="23"/>
  <c r="R12" i="23"/>
  <c r="R11" i="23"/>
  <c r="M56" i="23"/>
  <c r="M68" i="23"/>
  <c r="U53" i="23"/>
  <c r="R53" i="23"/>
  <c r="M80" i="5"/>
  <c r="M138" i="5"/>
  <c r="M44" i="5"/>
  <c r="M46" i="5" s="1"/>
  <c r="R25" i="23"/>
  <c r="U25" i="23"/>
  <c r="O23" i="23"/>
  <c r="Q24" i="23"/>
  <c r="I122" i="5"/>
  <c r="I124" i="5" s="1"/>
  <c r="I61" i="5"/>
  <c r="N58" i="5"/>
  <c r="O58" i="5" s="1"/>
  <c r="O57" i="5"/>
  <c r="N138" i="5"/>
  <c r="N80" i="5"/>
  <c r="N44" i="5"/>
  <c r="O38" i="5"/>
  <c r="O80" i="5" s="1"/>
  <c r="O82" i="5" s="1"/>
  <c r="C51" i="5"/>
  <c r="C53" i="5" s="1"/>
  <c r="C94" i="5"/>
  <c r="Q94" i="5"/>
  <c r="C146" i="5"/>
  <c r="C104" i="5"/>
  <c r="Q104" i="5" s="1"/>
  <c r="K110" i="5"/>
  <c r="K60" i="5"/>
  <c r="K53" i="5"/>
  <c r="K148" i="5"/>
  <c r="E122" i="5"/>
  <c r="E124" i="5" s="1"/>
  <c r="E61" i="5"/>
  <c r="E152" i="5"/>
  <c r="G122" i="5"/>
  <c r="G124" i="5" s="1"/>
  <c r="G152" i="5"/>
  <c r="G61" i="5"/>
  <c r="D129" i="5" l="1"/>
  <c r="F63" i="23" s="1"/>
  <c r="F64" i="23" s="1"/>
  <c r="L62" i="23"/>
  <c r="E129" i="5"/>
  <c r="G63" i="23" s="1"/>
  <c r="G64" i="23" s="1"/>
  <c r="D61" i="5"/>
  <c r="D122" i="5"/>
  <c r="D124" i="5" s="1"/>
  <c r="D152" i="5"/>
  <c r="D131" i="5"/>
  <c r="F60" i="19"/>
  <c r="F61" i="19" s="1"/>
  <c r="L51" i="5"/>
  <c r="L104" i="5"/>
  <c r="L146" i="5"/>
  <c r="N56" i="23"/>
  <c r="N69" i="23" s="1"/>
  <c r="N68" i="23"/>
  <c r="M48" i="5"/>
  <c r="M142" i="5"/>
  <c r="M59" i="5"/>
  <c r="M92" i="5"/>
  <c r="P52" i="23"/>
  <c r="P61" i="23"/>
  <c r="P66" i="23" s="1"/>
  <c r="Q23" i="23"/>
  <c r="O30" i="23"/>
  <c r="U24" i="23"/>
  <c r="R24" i="23"/>
  <c r="M69" i="23"/>
  <c r="N46" i="5"/>
  <c r="O44" i="5"/>
  <c r="G60" i="19"/>
  <c r="G61" i="19" s="1"/>
  <c r="E131" i="5"/>
  <c r="C106" i="5"/>
  <c r="Q106" i="5"/>
  <c r="K152" i="5"/>
  <c r="K61" i="5"/>
  <c r="K122" i="5"/>
  <c r="C148" i="5"/>
  <c r="C110" i="5"/>
  <c r="Q110" i="5" s="1"/>
  <c r="C60" i="5"/>
  <c r="F129" i="5" l="1"/>
  <c r="H63" i="23"/>
  <c r="H64" i="23" s="1"/>
  <c r="H60" i="19"/>
  <c r="H61" i="19" s="1"/>
  <c r="M62" i="23"/>
  <c r="L60" i="5"/>
  <c r="L110" i="5"/>
  <c r="L53" i="5"/>
  <c r="L148" i="5"/>
  <c r="O37" i="23"/>
  <c r="Q30" i="23"/>
  <c r="U23" i="23"/>
  <c r="R23" i="23"/>
  <c r="P56" i="23"/>
  <c r="P69" i="23" s="1"/>
  <c r="P68" i="23"/>
  <c r="M104" i="5"/>
  <c r="M51" i="5"/>
  <c r="M146" i="5"/>
  <c r="N59" i="5"/>
  <c r="O59" i="5" s="1"/>
  <c r="N142" i="5"/>
  <c r="N92" i="5"/>
  <c r="N48" i="5"/>
  <c r="O46" i="5"/>
  <c r="O92" i="5" s="1"/>
  <c r="O94" i="5" s="1"/>
  <c r="F131" i="5"/>
  <c r="G129" i="5"/>
  <c r="Q129" i="5" s="1"/>
  <c r="Q131" i="5" s="1"/>
  <c r="C112" i="5"/>
  <c r="Q112" i="5"/>
  <c r="C122" i="5"/>
  <c r="Q122" i="5" s="1"/>
  <c r="C61" i="5"/>
  <c r="C152" i="5"/>
  <c r="N62" i="23" l="1"/>
  <c r="I63" i="23"/>
  <c r="I64" i="23" s="1"/>
  <c r="H129" i="5"/>
  <c r="L152" i="5"/>
  <c r="L61" i="5"/>
  <c r="L122" i="5"/>
  <c r="M60" i="5"/>
  <c r="M110" i="5"/>
  <c r="M148" i="5"/>
  <c r="M53" i="5"/>
  <c r="U30" i="23"/>
  <c r="R30" i="23"/>
  <c r="O67" i="23"/>
  <c r="O49" i="23"/>
  <c r="Q37" i="23"/>
  <c r="N104" i="5"/>
  <c r="N146" i="5"/>
  <c r="N51" i="5"/>
  <c r="O48" i="5"/>
  <c r="O104" i="5" s="1"/>
  <c r="O106" i="5" s="1"/>
  <c r="G131" i="5"/>
  <c r="I60" i="19"/>
  <c r="I61" i="19" s="1"/>
  <c r="C124" i="5"/>
  <c r="Q124" i="5"/>
  <c r="J63" i="23" l="1"/>
  <c r="J64" i="23" s="1"/>
  <c r="H131" i="5"/>
  <c r="O62" i="23"/>
  <c r="J60" i="19"/>
  <c r="J61" i="19" s="1"/>
  <c r="I129" i="5"/>
  <c r="J129" i="5" s="1"/>
  <c r="K129" i="5" s="1"/>
  <c r="O61" i="23"/>
  <c r="O66" i="23" s="1"/>
  <c r="O52" i="23"/>
  <c r="Q49" i="23"/>
  <c r="M61" i="5"/>
  <c r="M152" i="5"/>
  <c r="M122" i="5"/>
  <c r="U37" i="23"/>
  <c r="R37" i="23"/>
  <c r="Q67" i="23"/>
  <c r="N148" i="5"/>
  <c r="N60" i="5"/>
  <c r="O60" i="5" s="1"/>
  <c r="N110" i="5"/>
  <c r="N53" i="5"/>
  <c r="O51" i="5"/>
  <c r="O110" i="5" s="1"/>
  <c r="O112" i="5" s="1"/>
  <c r="I131" i="5" l="1"/>
  <c r="Q61" i="23"/>
  <c r="B4" i="27" s="1"/>
  <c r="B12" i="27" s="1"/>
  <c r="P62" i="23"/>
  <c r="K63" i="23"/>
  <c r="K64" i="23" s="1"/>
  <c r="K60" i="19"/>
  <c r="K61" i="19" s="1"/>
  <c r="U49" i="23"/>
  <c r="S49" i="23"/>
  <c r="R49" i="23"/>
  <c r="O68" i="23"/>
  <c r="O56" i="23"/>
  <c r="Q52" i="23"/>
  <c r="N61" i="5"/>
  <c r="O61" i="5" s="1"/>
  <c r="N152" i="5"/>
  <c r="N122" i="5"/>
  <c r="O53" i="5"/>
  <c r="O122" i="5" s="1"/>
  <c r="O124" i="5" s="1"/>
  <c r="L63" i="23"/>
  <c r="L64" i="23" s="1"/>
  <c r="Q66" i="23" l="1"/>
  <c r="C12" i="27"/>
  <c r="R61" i="23"/>
  <c r="B8" i="27" s="1"/>
  <c r="B13" i="27" s="1"/>
  <c r="B15" i="27" s="1"/>
  <c r="U52" i="23"/>
  <c r="R52" i="23"/>
  <c r="S52" i="23"/>
  <c r="Q68" i="23"/>
  <c r="O69" i="23"/>
  <c r="Q56" i="23"/>
  <c r="M63" i="23"/>
  <c r="M64" i="23" s="1"/>
  <c r="L60" i="19"/>
  <c r="C13" i="27" l="1"/>
  <c r="C15" i="27" s="1"/>
  <c r="D12" i="27"/>
  <c r="U56" i="23"/>
  <c r="R56" i="23"/>
  <c r="S56" i="23"/>
  <c r="Q69" i="23"/>
  <c r="L129" i="5"/>
  <c r="N63" i="23" s="1"/>
  <c r="N64" i="23" s="1"/>
  <c r="M60" i="19"/>
  <c r="E12" i="27" l="1"/>
  <c r="D13" i="27"/>
  <c r="D15" i="27" s="1"/>
  <c r="N60" i="19"/>
  <c r="M129" i="5"/>
  <c r="O63" i="23" s="1"/>
  <c r="O64" i="23" s="1"/>
  <c r="E13" i="27" l="1"/>
  <c r="E15" i="27" s="1"/>
  <c r="F12" i="27"/>
  <c r="F13" i="27" s="1"/>
  <c r="N129" i="5"/>
  <c r="P63" i="23" s="1"/>
  <c r="O60" i="19"/>
  <c r="B22" i="27" l="1"/>
  <c r="P64" i="23"/>
  <c r="F15" i="27"/>
  <c r="B19" i="27" s="1"/>
  <c r="G13" i="27"/>
  <c r="G15" i="27" s="1"/>
  <c r="B20" i="27" s="1"/>
  <c r="P60" i="19"/>
  <c r="O129" i="5"/>
  <c r="O131" i="5" s="1"/>
  <c r="B21" i="27" l="1"/>
  <c r="B24" i="27" s="1"/>
  <c r="Z54" i="14"/>
  <c r="AD3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tc={39D4281E-AF95-8D48-9A58-5B5D1EFB7FBF}</author>
    <author>tc={D4A2D99C-7446-1B41-AB4A-12BF16906642}</author>
  </authors>
  <commentList>
    <comment ref="I24" authorId="0" shapeId="0" xr:uid="{39D4281E-AF95-8D48-9A58-5B5D1EFB7F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3360,00 Salário
    29,40 Anuenio</t>
      </text>
    </comment>
    <comment ref="I32" authorId="1" shapeId="0" xr:uid="{D4A2D99C-7446-1B41-AB4A-12BF169066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2.100,00 Salário 
     29,40 Anuenio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<sst xmlns="http://schemas.openxmlformats.org/spreadsheetml/2006/main" count="2762" uniqueCount="738">
  <si>
    <t>Investimento estratégico</t>
  </si>
  <si>
    <t>AuM</t>
  </si>
  <si>
    <t>ROA m</t>
  </si>
  <si>
    <t>Roa A</t>
  </si>
  <si>
    <t>DRE</t>
  </si>
  <si>
    <t>Mês da baixa</t>
  </si>
  <si>
    <t>Categoria</t>
  </si>
  <si>
    <t>Valor</t>
  </si>
  <si>
    <t>Média</t>
  </si>
  <si>
    <t>01 Receitas Operacionais</t>
  </si>
  <si>
    <t>01T Receita Bruta de Vendas</t>
  </si>
  <si>
    <t>02 Deduções da Receita Bruta</t>
  </si>
  <si>
    <t>02.1 Impostos Sobre Vendas</t>
  </si>
  <si>
    <t>0,00</t>
  </si>
  <si>
    <t>02T Receita Líquida de Vendas</t>
  </si>
  <si>
    <t>03 Custos Operacionais</t>
  </si>
  <si>
    <t>03T Lucro Bruto</t>
  </si>
  <si>
    <t>04 Despesas Operacionais</t>
  </si>
  <si>
    <t>04T Lucro / Prejuízo Operacional</t>
  </si>
  <si>
    <t>05 Receitas e Despesas Financeiras</t>
  </si>
  <si>
    <t>06 Outras Receitas e Despesas Não Operacionais</t>
  </si>
  <si>
    <t>06T Lucro / Prejuízo Líquido</t>
  </si>
  <si>
    <t>07 Despesas com Investimentos e Empréstimos</t>
  </si>
  <si>
    <t>07T Lucro / Prejuízo Final</t>
  </si>
  <si>
    <t>Consórcio</t>
  </si>
  <si>
    <t>Seguro de Vida</t>
  </si>
  <si>
    <t>Aum/1k</t>
  </si>
  <si>
    <t>EBITDA</t>
  </si>
  <si>
    <t>Caixa</t>
  </si>
  <si>
    <t>Caixa projetado</t>
  </si>
  <si>
    <t>Variação</t>
  </si>
  <si>
    <t>Margem EBITDA</t>
  </si>
  <si>
    <t>Margem Bruta</t>
  </si>
  <si>
    <t>Margem Lucro Liquido</t>
  </si>
  <si>
    <t>Margem Lucro Final</t>
  </si>
  <si>
    <t>ORÇAMENTO 2026  –  DRE CONSOLIDADA  (Grupo CVM + SUSEP)</t>
  </si>
  <si>
    <t xml:space="preserve">  PARÂMETROS E PREMISSAS  (azul = entrada manual  |  preto = calculado automaticamente)</t>
  </si>
  <si>
    <t>AuM Alvo Dez/26 (R$)</t>
  </si>
  <si>
    <t>Meta de AuM para Dez/26 – EDITÁVEL</t>
  </si>
  <si>
    <t>ROA Médio Mensal (% a.m.)</t>
  </si>
  <si>
    <t>Calculado automaticamente – Jan–Abr/26</t>
  </si>
  <si>
    <t>IPCA Anual 2026</t>
  </si>
  <si>
    <t>Taxa IPCA projetada – EDITÁVEL</t>
  </si>
  <si>
    <t>IPCA Mensal (composto)</t>
  </si>
  <si>
    <t>Calculado a partir do IPCA anual</t>
  </si>
  <si>
    <t>% Impostos s/ Receita Bruta</t>
  </si>
  <si>
    <t>% Comissões s/ Receita Bruta</t>
  </si>
  <si>
    <t>Descontos Incondicionais (méd. mensal)</t>
  </si>
  <si>
    <t>Média Jan–Abr/26</t>
  </si>
  <si>
    <t>Devoluções de Vendas (méd. mensal)</t>
  </si>
  <si>
    <t>Base Custos Operacionais (méd.)</t>
  </si>
  <si>
    <t>Média Jan–Abr/26 – IPCA composto mês a mês</t>
  </si>
  <si>
    <t>Base Despesas Operacionais (méd.)</t>
  </si>
  <si>
    <t>Base Desp. Financeiras Líq. (méd.)</t>
  </si>
  <si>
    <t>Base Desp. Invest./Empréstimos (méd.)</t>
  </si>
  <si>
    <t>Base Outras Rec./Desp. N.Op. (méd.)</t>
  </si>
  <si>
    <t>Média Jan–Abr/26 (valor imaterial)</t>
  </si>
  <si>
    <t xml:space="preserve">  TRAJETÓRIA DE AuM  (Jan–Abr = realizados da aba Consolidado  |  Mai–Dez = interpolação linear até meta)</t>
  </si>
  <si>
    <t>AuM (R$)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</si>
  <si>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</si>
  <si>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</si>
  <si>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</si>
  <si>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</si>
  <si>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</si>
  <si>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</si>
  <si>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</si>
  <si>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</si>
  <si>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</si>
  <si>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</si>
  <si>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</si>
  <si>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</si>
  <si>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Total 2026</t>
  </si>
  <si>
    <t>AuM Projetado (R$)</t>
  </si>
  <si>
    <t xml:space="preserve">  02.1 Impostos Sobre Vendas</t>
  </si>
  <si>
    <t xml:space="preserve">  02.2 Comissões Sobre Vendas</t>
  </si>
  <si>
    <t xml:space="preserve">  02.3 Descontos Incondicionais</t>
  </si>
  <si>
    <t xml:space="preserve">  02.4 Devoluções de Vendas</t>
  </si>
  <si>
    <t>05 Rec. e Despesas Financeiras</t>
  </si>
  <si>
    <t>06 Outras Rec./Despesas N.Op.</t>
  </si>
  <si>
    <t>07 Despesas com Invest. e Empréstimos</t>
  </si>
  <si>
    <t xml:space="preserve">  INDICADORES  (calculados automaticamente)</t>
  </si>
  <si>
    <t>Indicador</t>
  </si>
  <si>
    <t>EBITDA (R$)</t>
  </si>
  <si>
    <t>Margem Lucro Líquido</t>
  </si>
  <si>
    <t xml:space="preserve">  COMPARATIVO REAL × ORÇADO  –  TODOS OS 12 MESES</t>
  </si>
  <si>
    <t>🟢 Verde &gt; +10% do orçado  |  🔴 Vermelho &lt; -10% do orçado  |  Em branco = mês ainda não encerrado no Consolidado</t>
  </si>
  <si>
    <t xml:space="preserve">  01 Receitas Operacionais</t>
  </si>
  <si>
    <t>Total YTD</t>
  </si>
  <si>
    <t>Orçado</t>
  </si>
  <si>
    <t>Realizado</t>
  </si>
  <si>
    <t>Δ% Real vs. Orçado</t>
  </si>
  <si>
    <t xml:space="preserve">  02 Deduções da Receita Bruta</t>
  </si>
  <si>
    <t xml:space="preserve">  03 Custos Operacionais</t>
  </si>
  <si>
    <t xml:space="preserve">  03T Lucro Bruto</t>
  </si>
  <si>
    <t xml:space="preserve">  04 Despesas Operacionais</t>
  </si>
  <si>
    <t xml:space="preserve">  04T Lucro / Prej. Operacional</t>
  </si>
  <si>
    <t xml:space="preserve">  06T Lucro / Prej. Líquido</t>
  </si>
  <si>
    <t xml:space="preserve">  07 Desp. Invest./Empréstimos</t>
  </si>
  <si>
    <t xml:space="preserve">  07T Lucro / Prej. Final</t>
  </si>
  <si>
    <t>[Dados internos – gráficos]</t>
  </si>
  <si>
    <t>GRÁFICOS  –  REAL × ORÇADO  2026</t>
  </si>
  <si>
    <t>Distribuição</t>
  </si>
  <si>
    <t>CNPJ</t>
  </si>
  <si>
    <t>dez/25</t>
  </si>
  <si>
    <t>fev/26</t>
  </si>
  <si>
    <t>jul/26</t>
  </si>
  <si>
    <t>ago/26</t>
  </si>
  <si>
    <t>set/26</t>
  </si>
  <si>
    <t>out/26</t>
  </si>
  <si>
    <t>nov/26</t>
  </si>
  <si>
    <t>dez/26</t>
  </si>
  <si>
    <t>Caixa final</t>
  </si>
  <si>
    <t xml:space="preserve">Caixa </t>
  </si>
  <si>
    <t>1. BTG</t>
  </si>
  <si>
    <t>-&gt; Caixa</t>
  </si>
  <si>
    <t>1.1 Investimentos</t>
  </si>
  <si>
    <t>Bônus</t>
  </si>
  <si>
    <t>1.2 Conta</t>
  </si>
  <si>
    <t>2. Consultoria</t>
  </si>
  <si>
    <t>Saldo</t>
  </si>
  <si>
    <t>2.1 Investimentos</t>
  </si>
  <si>
    <t>2.2 Conta</t>
  </si>
  <si>
    <t xml:space="preserve">Lucro Final </t>
  </si>
  <si>
    <t>3. Corretora</t>
  </si>
  <si>
    <t>3.1 Investimentos</t>
  </si>
  <si>
    <t>3.2 Conta</t>
  </si>
  <si>
    <t>4. Holding</t>
  </si>
  <si>
    <t>4.1 Investimentos</t>
  </si>
  <si>
    <t>4.2 Conta</t>
  </si>
  <si>
    <t>Δ Caixa</t>
  </si>
  <si>
    <t xml:space="preserve">Sim </t>
  </si>
  <si>
    <t>Check</t>
  </si>
  <si>
    <t>Meta</t>
  </si>
  <si>
    <t>Não</t>
  </si>
  <si>
    <t>Gaioso</t>
  </si>
  <si>
    <t>Augusto</t>
  </si>
  <si>
    <t>Sidney</t>
  </si>
  <si>
    <t>Lamour (+R)</t>
  </si>
  <si>
    <t>Pedro</t>
  </si>
  <si>
    <t xml:space="preserve">Cris </t>
  </si>
  <si>
    <t>Bruno</t>
  </si>
  <si>
    <t xml:space="preserve">Mario </t>
  </si>
  <si>
    <t>Elias</t>
  </si>
  <si>
    <t xml:space="preserve">Igor </t>
  </si>
  <si>
    <t>Nhat</t>
  </si>
  <si>
    <t>Samuel</t>
  </si>
  <si>
    <t>Bianka</t>
  </si>
  <si>
    <t>Noemy</t>
  </si>
  <si>
    <t xml:space="preserve">Vale </t>
  </si>
  <si>
    <t>Lucro</t>
  </si>
  <si>
    <t>Total</t>
  </si>
  <si>
    <t>Lamour</t>
  </si>
  <si>
    <t>Igor</t>
  </si>
  <si>
    <t>Cris</t>
  </si>
  <si>
    <t>TOTAL</t>
  </si>
  <si>
    <t>%</t>
  </si>
  <si>
    <t>SIDNEY</t>
  </si>
  <si>
    <t>AUGUSTO</t>
  </si>
  <si>
    <t>GAIOSO</t>
  </si>
  <si>
    <t>HOLDING</t>
  </si>
  <si>
    <t>Thiago</t>
  </si>
  <si>
    <t>Dyogo</t>
  </si>
  <si>
    <t xml:space="preserve">Cristiano </t>
  </si>
  <si>
    <t xml:space="preserve">Elias </t>
  </si>
  <si>
    <t>Tesouraria</t>
  </si>
  <si>
    <t>MÊS</t>
  </si>
  <si>
    <t>Lucro acumulado</t>
  </si>
  <si>
    <t>Date - Ano</t>
  </si>
  <si>
    <t>Date - Mês</t>
  </si>
  <si>
    <t>soma patrimonio por data</t>
  </si>
  <si>
    <t>Coluna1</t>
  </si>
  <si>
    <t>Coluna2</t>
  </si>
  <si>
    <t>janeiro</t>
  </si>
  <si>
    <t>AUM</t>
  </si>
  <si>
    <t>des</t>
  </si>
  <si>
    <t>fevereiro</t>
  </si>
  <si>
    <t xml:space="preserve">Captação </t>
  </si>
  <si>
    <t>março</t>
  </si>
  <si>
    <t>Ticket Médio</t>
  </si>
  <si>
    <t>abril</t>
  </si>
  <si>
    <t xml:space="preserve">Clientes </t>
  </si>
  <si>
    <t>maio</t>
  </si>
  <si>
    <t>Churn</t>
  </si>
  <si>
    <t>junho</t>
  </si>
  <si>
    <t>julho</t>
  </si>
  <si>
    <t>agosto</t>
  </si>
  <si>
    <t>setembro</t>
  </si>
  <si>
    <t>outubro</t>
  </si>
  <si>
    <t>novembro</t>
  </si>
  <si>
    <t>dezembro</t>
  </si>
  <si>
    <t>Abril</t>
  </si>
  <si>
    <t xml:space="preserve">Funcionários </t>
  </si>
  <si>
    <t xml:space="preserve">Igor Freitas </t>
  </si>
  <si>
    <t xml:space="preserve">Igor Medeiros </t>
  </si>
  <si>
    <t xml:space="preserve">Nhatália </t>
  </si>
  <si>
    <t xml:space="preserve">Samuel </t>
  </si>
  <si>
    <t xml:space="preserve">Victor Vale </t>
  </si>
  <si>
    <t>Janeiro</t>
  </si>
  <si>
    <t>Salário líquido</t>
  </si>
  <si>
    <t>VA ou VR</t>
  </si>
  <si>
    <t>VT</t>
  </si>
  <si>
    <t>Plano Odont.</t>
  </si>
  <si>
    <t>Fevereiro</t>
  </si>
  <si>
    <t>Março</t>
  </si>
  <si>
    <t>Maio</t>
  </si>
  <si>
    <t>Junho</t>
  </si>
  <si>
    <t>Julho</t>
  </si>
  <si>
    <t>Agosto</t>
  </si>
  <si>
    <t>Setembro</t>
  </si>
  <si>
    <t>Outubro</t>
  </si>
  <si>
    <t>Novembro</t>
  </si>
  <si>
    <t>Custo</t>
  </si>
  <si>
    <t>Despesa</t>
  </si>
  <si>
    <t>Comissões</t>
  </si>
  <si>
    <t>Impostos</t>
  </si>
  <si>
    <t>Aum0</t>
  </si>
  <si>
    <t>Cap</t>
  </si>
  <si>
    <t>Cap mensal</t>
  </si>
  <si>
    <t>Centro de custo</t>
  </si>
  <si>
    <t>Valor total</t>
  </si>
  <si>
    <t>AV(%)</t>
  </si>
  <si>
    <t>Empresa</t>
  </si>
  <si>
    <t>Centro de custos</t>
  </si>
  <si>
    <t>consultor</t>
  </si>
  <si>
    <t>100%</t>
  </si>
  <si>
    <t>Consultoria</t>
  </si>
  <si>
    <t>Consultoria - Augusto</t>
  </si>
  <si>
    <t>Consultoria - Lamour</t>
  </si>
  <si>
    <t>Consultoria - Gaioso</t>
  </si>
  <si>
    <t>Consultoria - Sidney</t>
  </si>
  <si>
    <t>Consultoria - Pedro</t>
  </si>
  <si>
    <t>Consultoria - Cristiano</t>
  </si>
  <si>
    <t>Cristiano</t>
  </si>
  <si>
    <t>Mario</t>
  </si>
  <si>
    <t>RPPS</t>
  </si>
  <si>
    <t>Andaluz</t>
  </si>
  <si>
    <t>Planejamento</t>
  </si>
  <si>
    <t>Planejamento - Pedro</t>
  </si>
  <si>
    <t>Planejamento - Augusto</t>
  </si>
  <si>
    <t>Consulta</t>
  </si>
  <si>
    <t>Consulta - Augusto</t>
  </si>
  <si>
    <t>Consulta - Pedro</t>
  </si>
  <si>
    <t>Corretora</t>
  </si>
  <si>
    <t>Bancário</t>
  </si>
  <si>
    <t>R$</t>
  </si>
  <si>
    <t>Seguro de vida</t>
  </si>
  <si>
    <t>Seguro de Vida - Mongeral - Augusto</t>
  </si>
  <si>
    <t>Seguro de Vida - Mongeral - Sidney</t>
  </si>
  <si>
    <t>Seguro de Vida - Metlife - Augusto</t>
  </si>
  <si>
    <t>Vida</t>
  </si>
  <si>
    <t>Seguro de Vida - Azos - Lamour</t>
  </si>
  <si>
    <t>Seguro de Vida - Mongeral - Gaioso</t>
  </si>
  <si>
    <t>Seguro Residencial</t>
  </si>
  <si>
    <t>Outros</t>
  </si>
  <si>
    <t>Seguro de Vida - Mongeral - Pedro</t>
  </si>
  <si>
    <t>Seguro de Vida - Azos - Cristiano</t>
  </si>
  <si>
    <t>Seguro de Vida - Azos - Augusto</t>
  </si>
  <si>
    <t>Bonificação</t>
  </si>
  <si>
    <t>Seguro de Vida - Mongeral - Andaluz</t>
  </si>
  <si>
    <t>Seguro Auto</t>
  </si>
  <si>
    <t>Seguro de Vida - Mongeral - Cristiano</t>
  </si>
  <si>
    <t>Seguro de Vida - Prudential - Cristiano</t>
  </si>
  <si>
    <t>Seguro Viagem</t>
  </si>
  <si>
    <t>Seguro de Vida - Azos - Pedro</t>
  </si>
  <si>
    <t>Seguro Saúde</t>
  </si>
  <si>
    <t>Seguro de Vida - Sul América - Sidney</t>
  </si>
  <si>
    <t>Seguro de Vida - Sul América - Andaluz</t>
  </si>
  <si>
    <t>Empresarial</t>
  </si>
  <si>
    <t>Seguro Auto - Porto Seguro - Augusto</t>
  </si>
  <si>
    <t>Odontologico</t>
  </si>
  <si>
    <t>Seguro de Vida - Tokio - Andaluz</t>
  </si>
  <si>
    <t>Responsabilidade Civil</t>
  </si>
  <si>
    <t>Previdência -  Sul America - Andaluz</t>
  </si>
  <si>
    <t>Seguro Pet</t>
  </si>
  <si>
    <t>Seguro Residencial - Allianz - Pedro</t>
  </si>
  <si>
    <t>Seguro Residencial - Tokio - Pedro</t>
  </si>
  <si>
    <t>Seguro Residencial Allianz - Augusto</t>
  </si>
  <si>
    <t>Previdência - Sul América - Gaioso</t>
  </si>
  <si>
    <t>Previdência - Sul América - Sidney</t>
  </si>
  <si>
    <t>Previdência - Sul América - Pedro</t>
  </si>
  <si>
    <t>Previdência - BTG - Andaluz</t>
  </si>
  <si>
    <t>Previdência - Sul América - Augusto</t>
  </si>
  <si>
    <t>Previdência - Saks - Andaluz</t>
  </si>
  <si>
    <t>Seguro Saúde - Sulamérica - Gaioso</t>
  </si>
  <si>
    <t>Seguro de Vida - Prudential - Sidney</t>
  </si>
  <si>
    <t>Seguro de Vida - Azos - Andaluz</t>
  </si>
  <si>
    <t>Bonificação - Allianz - Andaluz</t>
  </si>
  <si>
    <t>Seguro Auto - Allianz - Sidney</t>
  </si>
  <si>
    <t>Seguro Auto - Tokio - Sidney</t>
  </si>
  <si>
    <t>Seguro Auto - Porto Seguro - Pedro</t>
  </si>
  <si>
    <t>Seguro Viagem - Chubb - Cristiano</t>
  </si>
  <si>
    <t>Seguro Viagem - Chubb - Gaioso</t>
  </si>
  <si>
    <t>Seguro Viagem - Sul América - Augusto</t>
  </si>
  <si>
    <t>Seguro Saúde -  Bradesco - Lamour</t>
  </si>
  <si>
    <t>Responsabilidade Civil - Akad - Pedro</t>
  </si>
  <si>
    <t>Odontológico - Bradesco - Lamour</t>
  </si>
  <si>
    <t>Odontologico - Metlife - Andaluz</t>
  </si>
  <si>
    <t>Seguro Pet - Nhatalia</t>
  </si>
  <si>
    <t>Responsabilidade Civil - Fator - Augusto</t>
  </si>
  <si>
    <t>Retirados do estudo</t>
  </si>
  <si>
    <t>YTD</t>
  </si>
  <si>
    <t>Centro de Custos</t>
  </si>
  <si>
    <t>Comissão Augusto</t>
  </si>
  <si>
    <t>Comissão Gaioso</t>
  </si>
  <si>
    <t>Despesas regulatórias</t>
  </si>
  <si>
    <t>Comissão Sidney</t>
  </si>
  <si>
    <t>Despesas com Vendas</t>
  </si>
  <si>
    <t>Comissão Lamour</t>
  </si>
  <si>
    <t>Despesas Comerciais</t>
  </si>
  <si>
    <t>Empréstimos de Outras Instituições</t>
  </si>
  <si>
    <t>Imobilizados e equipamentos</t>
  </si>
  <si>
    <t>IRPJ sobre Faturamento</t>
  </si>
  <si>
    <t>COFINS sobre Faturamento</t>
  </si>
  <si>
    <t>ISS</t>
  </si>
  <si>
    <t>Salário Igor Araujo</t>
  </si>
  <si>
    <t>Aluguel</t>
  </si>
  <si>
    <t>Despesas Financeiras</t>
  </si>
  <si>
    <t>Investimento em Marketing</t>
  </si>
  <si>
    <t>Despesas Administrativas</t>
  </si>
  <si>
    <t>Salários</t>
  </si>
  <si>
    <t>CSLL sobre Faturamento</t>
  </si>
  <si>
    <t>Comissão Pedro</t>
  </si>
  <si>
    <t>Honorários Advocatícios</t>
  </si>
  <si>
    <t>INSS sobre Salários - GPS</t>
  </si>
  <si>
    <t>Sem centro de custo</t>
  </si>
  <si>
    <t>Viagens e Representações</t>
  </si>
  <si>
    <t>Ajustes Financeiros</t>
  </si>
  <si>
    <t>Honorários Contábeis</t>
  </si>
  <si>
    <t>Máquinas, Equipamentos e Instalações Industriais</t>
  </si>
  <si>
    <t>Comissão Cristiano</t>
  </si>
  <si>
    <t>Vale-Alimentação</t>
  </si>
  <si>
    <t>Software / Licença de Uso</t>
  </si>
  <si>
    <t>Condomínio</t>
  </si>
  <si>
    <t>Marketing e Publicidade</t>
  </si>
  <si>
    <t>PIS sobre Faturamento</t>
  </si>
  <si>
    <t>Supermercado</t>
  </si>
  <si>
    <t>FGTS e Multa de FGTS</t>
  </si>
  <si>
    <t>Neoenergia</t>
  </si>
  <si>
    <t>Taxas</t>
  </si>
  <si>
    <t>Parcerias comerciais</t>
  </si>
  <si>
    <t>Honorários T,I</t>
  </si>
  <si>
    <t>Estorno Pagamentos Diversos</t>
  </si>
  <si>
    <t xml:space="preserve">Estorno Comissão </t>
  </si>
  <si>
    <t>Diarista</t>
  </si>
  <si>
    <t>Bolsa Estágio</t>
  </si>
  <si>
    <t>Férias</t>
  </si>
  <si>
    <t>Comissão Mario</t>
  </si>
  <si>
    <t>Telefonia e Internet</t>
  </si>
  <si>
    <t>Tarifas Bancárias</t>
  </si>
  <si>
    <t>Manutenção Predial</t>
  </si>
  <si>
    <t>Cursos e Treinamentos</t>
  </si>
  <si>
    <t>Comissão israel Zimmermann</t>
  </si>
  <si>
    <t>Lanches e Refeições</t>
  </si>
  <si>
    <t>Telefonia Móvel</t>
  </si>
  <si>
    <t>Vale-Transporte</t>
  </si>
  <si>
    <t>Confraternização</t>
  </si>
  <si>
    <t>Educação e Certificações</t>
  </si>
  <si>
    <t>Seguros</t>
  </si>
  <si>
    <t>Materiais de Escritório</t>
  </si>
  <si>
    <t>Seguros de funcionários</t>
  </si>
  <si>
    <t>Plano Odontológico Colaboradores</t>
  </si>
  <si>
    <t>Materiais de Limpeza e de Higiene</t>
  </si>
  <si>
    <t>Investimento em Sistemas</t>
  </si>
  <si>
    <t>Transporte Urbano (táxi, Uber)</t>
  </si>
  <si>
    <t>Uniformes</t>
  </si>
  <si>
    <t>Saúde Ocupacional</t>
  </si>
  <si>
    <t>PLR - Participação nos Lucros e Resultados</t>
  </si>
  <si>
    <t>Reembolso</t>
  </si>
  <si>
    <t>Ajuste de Saldo</t>
  </si>
  <si>
    <t>Estorno</t>
  </si>
  <si>
    <t xml:space="preserve">  DRE ORÇADA 2026  </t>
  </si>
  <si>
    <t>Assets under management</t>
  </si>
  <si>
    <t>IR Trimestral</t>
  </si>
  <si>
    <t>IRPJ + CSLL</t>
  </si>
  <si>
    <t xml:space="preserve">Presunção </t>
  </si>
  <si>
    <t>PIS/COFINS</t>
  </si>
  <si>
    <t>Add IRPJ - 240k</t>
  </si>
  <si>
    <t>CSLL</t>
  </si>
  <si>
    <t>18,5 - 19</t>
  </si>
  <si>
    <t>MÉDIA</t>
  </si>
  <si>
    <t xml:space="preserve">    02. 1. 1 - IRPJ Trimestral</t>
  </si>
  <si>
    <t>Impostos sobre Receita</t>
  </si>
  <si>
    <t>PIS</t>
  </si>
  <si>
    <t>COFINS</t>
  </si>
  <si>
    <t>Impostos sobre Presunção</t>
  </si>
  <si>
    <t>IRPJ</t>
  </si>
  <si>
    <t>Excedente</t>
  </si>
  <si>
    <t xml:space="preserve">ROA </t>
  </si>
  <si>
    <t>jan./26</t>
  </si>
  <si>
    <t>fev./26</t>
  </si>
  <si>
    <t>mar./26</t>
  </si>
  <si>
    <t>abr./26</t>
  </si>
  <si>
    <t>Consultoria - Bruno</t>
  </si>
  <si>
    <t>Receitas de Serviços</t>
  </si>
  <si>
    <t>Tesouro Mato Grosso</t>
  </si>
  <si>
    <t>RPPS Niterói</t>
  </si>
  <si>
    <t>Planejamento - Lamour</t>
  </si>
  <si>
    <t>Ganhos Financeiros</t>
  </si>
  <si>
    <t>Juros investimento</t>
  </si>
  <si>
    <t>Rendimento conta</t>
  </si>
  <si>
    <t>Consulta - Gaioso</t>
  </si>
  <si>
    <t>Ajuste Financeiro</t>
  </si>
  <si>
    <t>Consórcio - Augusto</t>
  </si>
  <si>
    <t>Seguro de Vida - Mongeral - Lamour</t>
  </si>
  <si>
    <t>Seguro de Vida - Sul América - Pedro</t>
  </si>
  <si>
    <t>Seguro de Vida - Akad - Pedro</t>
  </si>
  <si>
    <t>Previdência - Sul América - Cristiano</t>
  </si>
  <si>
    <t>Previdência - Sul América - Bruno</t>
  </si>
  <si>
    <t>Seguro de Vida - Prudential - Augusto</t>
  </si>
  <si>
    <t>Seguro de Vida - Mongeral - Bruno</t>
  </si>
  <si>
    <t>Seguro de Vida - Azos - Bruno</t>
  </si>
  <si>
    <t>Corban - BTG - Augusto</t>
  </si>
  <si>
    <t>Corban - BTG -  Sidney</t>
  </si>
  <si>
    <t xml:space="preserve">Corban - BTG -  Andaluz </t>
  </si>
  <si>
    <t>Corban - BTG -  Lamour</t>
  </si>
  <si>
    <t>Corban - BTG -  Gaioso</t>
  </si>
  <si>
    <t>Corban - BTG -  Cristiano</t>
  </si>
  <si>
    <t>Corban - BTG - Pedro</t>
  </si>
  <si>
    <t>Seguro Residencial - Allianz - Sidney</t>
  </si>
  <si>
    <t>Seguro Residencial - HDI - Pedro</t>
  </si>
  <si>
    <t>Seguro Residencial - Allianz - Lamour</t>
  </si>
  <si>
    <t>Seguro Residencial - Porto Seguro - Cristiano</t>
  </si>
  <si>
    <t>Responsabilidade Civil - Fairfax - Augusto</t>
  </si>
  <si>
    <t>Responsabilidade Civil - Porto - Augusto</t>
  </si>
  <si>
    <t>Responsabilidade Civil - Akad - Augusto</t>
  </si>
  <si>
    <t>Responsabilidade Civil - Chubb - Gaioso</t>
  </si>
  <si>
    <t>Responsabilidade Civil - Fairfax - Gaioso</t>
  </si>
  <si>
    <t>Responsabilidade Civil - Fator - Cristiano</t>
  </si>
  <si>
    <t>Responsabilidade Civil - Akad - Lamour</t>
  </si>
  <si>
    <t>Responsabilidade Civil - Tókio - Pedro</t>
  </si>
  <si>
    <t>Seguro Auto - Yellum - Bruno</t>
  </si>
  <si>
    <t>Seguro Auto - Porto Seguro - Sidney</t>
  </si>
  <si>
    <t>Seguro Auto - Yellum - Pedro</t>
  </si>
  <si>
    <t>Seguro Auto - Yellum - Lamour</t>
  </si>
  <si>
    <t>Seguro Auto - Allianz - Lamour</t>
  </si>
  <si>
    <t>Seguro Auto - Zurich - Cristiano</t>
  </si>
  <si>
    <t>Seguro Auto - Mapfre - Sidney</t>
  </si>
  <si>
    <t>Seguro Auto - Mapfre - Gaioso</t>
  </si>
  <si>
    <t>Seguro Auto - Tokio - Bruno</t>
  </si>
  <si>
    <t>Seguro Auto - Bradesco - Pedro</t>
  </si>
  <si>
    <t>Seguro Viagem - Sul América - Cristiano</t>
  </si>
  <si>
    <t>Seguro Viagem - Sul América - Gaioso</t>
  </si>
  <si>
    <t>Empresarial - Tokio - Sidney</t>
  </si>
  <si>
    <t>Empresarial - Porto Seguro - Pedro</t>
  </si>
  <si>
    <t>Receitas diversas</t>
  </si>
  <si>
    <t>Institucional</t>
  </si>
  <si>
    <t>Consultor</t>
  </si>
  <si>
    <t xml:space="preserve">Consultoria </t>
  </si>
  <si>
    <t>Comissão - Bruno</t>
  </si>
  <si>
    <t>Sistemas - Não usar</t>
  </si>
  <si>
    <t xml:space="preserve">Sistemas Consolidação </t>
  </si>
  <si>
    <t>Sistemas Corporativos</t>
  </si>
  <si>
    <t>Sistemas Investimentos</t>
  </si>
  <si>
    <t xml:space="preserve">Sistemas próprios </t>
  </si>
  <si>
    <t xml:space="preserve">Sistemas Inteligência Artificial </t>
  </si>
  <si>
    <t>Sistemas Marketing</t>
  </si>
  <si>
    <t>Encargos</t>
  </si>
  <si>
    <t>Juros pagos</t>
  </si>
  <si>
    <t>Adiantamento Salarial</t>
  </si>
  <si>
    <t>Ajuste</t>
  </si>
  <si>
    <t>Impostos sobre Vendas e sobre Serviços</t>
  </si>
  <si>
    <t>PLR e Bônus</t>
  </si>
  <si>
    <t>Despesas com Sistemas</t>
  </si>
  <si>
    <t>Despesas com Salários e Encargos</t>
  </si>
  <si>
    <t>Despesas com Imóvel</t>
  </si>
  <si>
    <t>Despesas com serviços</t>
  </si>
  <si>
    <t>Despesas com Colaboradores</t>
  </si>
  <si>
    <t>Despesas com Diretoria</t>
  </si>
  <si>
    <t>Estornos</t>
  </si>
  <si>
    <t>Igor Araujo</t>
  </si>
  <si>
    <t>Israel</t>
  </si>
  <si>
    <t>Destino</t>
  </si>
  <si>
    <t>Natureza</t>
  </si>
  <si>
    <t>Utilidade</t>
  </si>
  <si>
    <t>Obs</t>
  </si>
  <si>
    <t>Variavel</t>
  </si>
  <si>
    <t>No choice</t>
  </si>
  <si>
    <t>PLR</t>
  </si>
  <si>
    <t>Extraordinario</t>
  </si>
  <si>
    <t>-</t>
  </si>
  <si>
    <t>Fixo</t>
  </si>
  <si>
    <t>Obrigatório</t>
  </si>
  <si>
    <t>Antigo</t>
  </si>
  <si>
    <t>Preferencial</t>
  </si>
  <si>
    <t>Dívida</t>
  </si>
  <si>
    <t>fixo</t>
  </si>
  <si>
    <t>Revisável</t>
  </si>
  <si>
    <t>Dispensável</t>
  </si>
  <si>
    <t>Queima caixa</t>
  </si>
  <si>
    <t>reduzir CNPJ's</t>
  </si>
  <si>
    <t>cancelar sidney</t>
  </si>
  <si>
    <t>tirar sidney e avaliar cancelar</t>
  </si>
  <si>
    <t>Prejuízo</t>
  </si>
  <si>
    <t>Comissão</t>
  </si>
  <si>
    <t>Receita líquida</t>
  </si>
  <si>
    <t>Receita final escritorio</t>
  </si>
  <si>
    <t>Custo Igor</t>
  </si>
  <si>
    <t>04.9 Veículos</t>
  </si>
  <si>
    <t>04.8 Vendas</t>
  </si>
  <si>
    <t>04.7 Imobilizados e equipamentos</t>
  </si>
  <si>
    <t>04.6 Diretoria</t>
  </si>
  <si>
    <t>04.5 Colaboradores</t>
  </si>
  <si>
    <t>04.4 Administrativas</t>
  </si>
  <si>
    <t>04.3 Comerciais</t>
  </si>
  <si>
    <t>04.2 Serviços</t>
  </si>
  <si>
    <t>04.10 Outras Despesas</t>
  </si>
  <si>
    <t>04.1 Imóvel</t>
  </si>
  <si>
    <t>03.5 Regulatórias</t>
  </si>
  <si>
    <t>03.4 Custo RPPS</t>
  </si>
  <si>
    <t>03.3 Custo Tesouro mato grosso</t>
  </si>
  <si>
    <t>03.2 Sistemas</t>
  </si>
  <si>
    <t>03.1 Salários e Encargos</t>
  </si>
  <si>
    <t>02.6 Comissões Parceiros</t>
  </si>
  <si>
    <t>02.5 Devoluções de Vendas</t>
  </si>
  <si>
    <t>02.4 Descontos Incondicionais</t>
  </si>
  <si>
    <t>02.3 Comissões Mesa</t>
  </si>
  <si>
    <t>02.2 Comissões Consultores</t>
  </si>
  <si>
    <t>01.6 Valuation</t>
  </si>
  <si>
    <t>01.5 Consulta</t>
  </si>
  <si>
    <t>01.4 RPPS</t>
  </si>
  <si>
    <t>01.3 Tesouro Mato Grosso</t>
  </si>
  <si>
    <t>01.2 Planejamento</t>
  </si>
  <si>
    <t>01.1 Consultoria</t>
  </si>
  <si>
    <t>Abr/2026</t>
  </si>
  <si>
    <t>Mar/2026</t>
  </si>
  <si>
    <t>Fev/2026</t>
  </si>
  <si>
    <t>Jan/2026</t>
  </si>
  <si>
    <t>01.5 Outros</t>
  </si>
  <si>
    <t>01.4 Seguro de vida</t>
  </si>
  <si>
    <t>01.3 Previdência</t>
  </si>
  <si>
    <t>01.2 Consórcio</t>
  </si>
  <si>
    <t>01.1 Câmbio/Bancários</t>
  </si>
  <si>
    <t>07.1 Investimentos em Imobilizado</t>
  </si>
  <si>
    <t>07.2 Empréstimos e Dívidas</t>
  </si>
  <si>
    <t>ROA Anualizado</t>
  </si>
  <si>
    <t>Mato Grosso</t>
  </si>
  <si>
    <t>E7</t>
  </si>
  <si>
    <t>E20</t>
  </si>
  <si>
    <t>E28</t>
  </si>
  <si>
    <t>E34</t>
  </si>
  <si>
    <t>E35</t>
  </si>
  <si>
    <t>E46</t>
  </si>
  <si>
    <t>E49</t>
  </si>
  <si>
    <t>E50</t>
  </si>
  <si>
    <t>E53</t>
  </si>
  <si>
    <t>g</t>
  </si>
  <si>
    <t>ROA Vida</t>
  </si>
  <si>
    <t>ROA Previdência</t>
  </si>
  <si>
    <t>ROA Corretora</t>
  </si>
  <si>
    <t xml:space="preserve">ROA Consultoria </t>
  </si>
  <si>
    <t>ROA Planejamento</t>
  </si>
  <si>
    <t xml:space="preserve">Planejamento </t>
  </si>
  <si>
    <t xml:space="preserve">Corretora </t>
  </si>
  <si>
    <t>Quantum</t>
  </si>
  <si>
    <t>ROA Consultoria</t>
  </si>
  <si>
    <t xml:space="preserve">ROA Planejamento </t>
  </si>
  <si>
    <t>Premissas: AuM × ROA médio  |  Custos: IPCA 5,5% a.a.  |  Realizado: alimentado automaticamente da aba Consolidated</t>
  </si>
  <si>
    <t xml:space="preserve"> RPPS</t>
  </si>
  <si>
    <t xml:space="preserve"> Consulta</t>
  </si>
  <si>
    <t>Valuation</t>
  </si>
  <si>
    <t>Câmbio/Bancários</t>
  </si>
  <si>
    <t>Previdência</t>
  </si>
  <si>
    <t>Outros Ramos</t>
  </si>
  <si>
    <t>Sistemas</t>
  </si>
  <si>
    <t>mai/26</t>
  </si>
  <si>
    <t>jun/26</t>
  </si>
  <si>
    <t xml:space="preserve">Consolidação </t>
  </si>
  <si>
    <t>Corporativos</t>
  </si>
  <si>
    <t>Próprios</t>
  </si>
  <si>
    <t>Investimentos</t>
  </si>
  <si>
    <t>IA</t>
  </si>
  <si>
    <t>Marketing</t>
  </si>
  <si>
    <t>Gorila</t>
  </si>
  <si>
    <t>PPRO MSFT</t>
  </si>
  <si>
    <t xml:space="preserve">Wpp </t>
  </si>
  <si>
    <t>Ponto eletrônico</t>
  </si>
  <si>
    <t>Clicksign</t>
  </si>
  <si>
    <t>Exclusive</t>
  </si>
  <si>
    <t>Power BI</t>
  </si>
  <si>
    <t>Felipe Bubble e dash</t>
  </si>
  <si>
    <t>Broadcast</t>
  </si>
  <si>
    <t>ADOBE PRO</t>
  </si>
  <si>
    <t>SISTEMAS</t>
  </si>
  <si>
    <t>Microsoft Office</t>
  </si>
  <si>
    <t>Mato grosso</t>
  </si>
  <si>
    <t>Redução leve</t>
  </si>
  <si>
    <t>Total reduzido</t>
  </si>
  <si>
    <t>Projetado</t>
  </si>
  <si>
    <t>*Jan-Abril com números projetados</t>
  </si>
  <si>
    <t>Receitas</t>
  </si>
  <si>
    <t>Despesas</t>
  </si>
  <si>
    <t>Total Mato Grosso</t>
  </si>
  <si>
    <t>Equipe técnica</t>
  </si>
  <si>
    <t>Passagens</t>
  </si>
  <si>
    <t>Total Niteroi</t>
  </si>
  <si>
    <t xml:space="preserve">Sistemas </t>
  </si>
  <si>
    <t xml:space="preserve">Equipe técnica </t>
  </si>
  <si>
    <t>Total das Despesas</t>
  </si>
  <si>
    <t>Líquido</t>
  </si>
  <si>
    <t>Projeção de lucro Institucional</t>
  </si>
  <si>
    <t>Positivo</t>
  </si>
  <si>
    <t>Negativo</t>
  </si>
  <si>
    <t>LUCRO T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</si>
  <si>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</si>
  <si>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</si>
  <si>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</si>
  <si>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</si>
  <si>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</si>
  <si>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</si>
  <si>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</si>
  <si>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</si>
  <si>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</si>
  <si>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</si>
  <si>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</si>
  <si>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</si>
  <si>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</si>
  <si>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</si>
  <si>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</si>
  <si>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</si>
  <si>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</si>
  <si>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2T26</t>
  </si>
  <si>
    <t>3T26</t>
  </si>
  <si>
    <t>4T26</t>
  </si>
  <si>
    <t>Número de clientes (dash)</t>
  </si>
  <si>
    <t>mai./26</t>
  </si>
  <si>
    <t>jun./26</t>
  </si>
  <si>
    <t>jul./26</t>
  </si>
  <si>
    <t>ago./26</t>
  </si>
  <si>
    <t>set./26</t>
  </si>
  <si>
    <t>out./26</t>
  </si>
  <si>
    <t>nov./26</t>
  </si>
  <si>
    <t>dez./26</t>
  </si>
  <si>
    <t xml:space="preserve">Comissão </t>
  </si>
  <si>
    <t xml:space="preserve">Nhatalia </t>
  </si>
  <si>
    <t xml:space="preserve">Samuel Camilo </t>
  </si>
  <si>
    <t>Igor Freitas</t>
  </si>
  <si>
    <t>Hanuman</t>
  </si>
  <si>
    <t>João Pedro</t>
  </si>
  <si>
    <t>Colaborador</t>
  </si>
  <si>
    <t>Salário base</t>
  </si>
  <si>
    <t>13º</t>
  </si>
  <si>
    <t>Seguro Residencial - Porto Seguro - Augusto</t>
  </si>
  <si>
    <t>Seguro Residencial - Bradesco - Augusto</t>
  </si>
  <si>
    <t>Seguro Residencial - Allianz - Andaluz</t>
  </si>
  <si>
    <t>Responsabilidade Civil - Chubb - Augusto</t>
  </si>
  <si>
    <t>Responsabilidade Civil - Tókio - Sidney</t>
  </si>
  <si>
    <t>Seguro Auto - Yellum - Cristiano</t>
  </si>
  <si>
    <t>Seguro Auto - Yellum - Augusto</t>
  </si>
  <si>
    <t>Salários e Encargos</t>
  </si>
  <si>
    <t>Comissão - Augusto</t>
  </si>
  <si>
    <t>Comissão - Lamour</t>
  </si>
  <si>
    <t>Comissão - Sidney</t>
  </si>
  <si>
    <t>Comissão - Pedro</t>
  </si>
  <si>
    <t>Comissão - Cristiano</t>
  </si>
  <si>
    <t>Comissão - Gaioso</t>
  </si>
  <si>
    <t>Colaboradores</t>
  </si>
  <si>
    <t>Comissão Augusto - Tesouro Mato Grosso</t>
  </si>
  <si>
    <t>Hospedagem - Tesouro Mato Grosso</t>
  </si>
  <si>
    <t>Viagens e Representações - Tesouro Mato Grosso</t>
  </si>
  <si>
    <t>Lanches e Refeições - Tesouro Mato Grosso</t>
  </si>
  <si>
    <t>Transporte Urbano (táxi, Uber) - Tesouro Mato Grosso</t>
  </si>
  <si>
    <t>Comissão Consultoria - Tesouro Mato Grosso</t>
  </si>
  <si>
    <t>ISS sobre Faturamento</t>
  </si>
  <si>
    <t>Retenção Sidney - Darf 1841 - 02 IRRF - Lucros ou dividendos - Exterior</t>
  </si>
  <si>
    <t>Imóvel</t>
  </si>
  <si>
    <t>Serviços</t>
  </si>
  <si>
    <t>Comerciais</t>
  </si>
  <si>
    <t>Diretoria</t>
  </si>
  <si>
    <t>Administrativas</t>
  </si>
  <si>
    <t>Financeiras</t>
  </si>
  <si>
    <t>IOF</t>
  </si>
  <si>
    <t>Taxa CVM - PF</t>
  </si>
  <si>
    <t>Taxa CVM - PJ</t>
  </si>
  <si>
    <t>Taxa Estagiário</t>
  </si>
  <si>
    <t>Regulatórias</t>
  </si>
  <si>
    <t>IPTU</t>
  </si>
  <si>
    <t>Premiação</t>
  </si>
  <si>
    <t>Custo RPPS</t>
  </si>
  <si>
    <t xml:space="preserve">YTD (maio) </t>
  </si>
  <si>
    <t>Captação líquida</t>
  </si>
  <si>
    <t xml:space="preserve">Ticket Médio </t>
  </si>
  <si>
    <t xml:space="preserve">Saldo de clientes </t>
  </si>
  <si>
    <t>Novos contratos</t>
  </si>
  <si>
    <t>Renovações</t>
  </si>
  <si>
    <t xml:space="preserve">Entrada de clientes </t>
  </si>
  <si>
    <t>Retiradas</t>
  </si>
  <si>
    <t xml:space="preserve">Cancelamentos </t>
  </si>
  <si>
    <t xml:space="preserve">Saída de clientes </t>
  </si>
  <si>
    <t>Captação Bruta</t>
  </si>
  <si>
    <t xml:space="preserve">Churn </t>
  </si>
  <si>
    <t>VALUATION POR FLUXO DE CAIXA DESCONTADO (FCD)</t>
  </si>
  <si>
    <t>PREMISSAS</t>
  </si>
  <si>
    <t>Taxa de Desconto (WACC)</t>
  </si>
  <si>
    <t>Taxa de Crescimento Perpétuo (g)</t>
  </si>
  <si>
    <t>% Conversão FCF / EBITDA</t>
  </si>
  <si>
    <t>PROJEÇÃO DE FLUXO DE CAIXA LIVRE</t>
  </si>
  <si>
    <t>Item</t>
  </si>
  <si>
    <t>Perpetuidade</t>
  </si>
  <si>
    <t>EBITDA Projetado</t>
  </si>
  <si>
    <t>–</t>
  </si>
  <si>
    <t>Fluxo de Caixa Livre (FCF)</t>
  </si>
  <si>
    <t>Fator de Desconto</t>
  </si>
  <si>
    <t>FCF Descontado</t>
  </si>
  <si>
    <t>Soma FCF Descontados – Fase 1 (Anos 1–5)</t>
  </si>
  <si>
    <t>Valor Terminal Descontado</t>
  </si>
  <si>
    <t>Valor da Empresa (Enterprise Value)</t>
  </si>
  <si>
    <t>EBITDA Base</t>
  </si>
  <si>
    <t>Valor final da Empresa</t>
  </si>
  <si>
    <t>Taxa de Crescimento Anual</t>
  </si>
  <si>
    <t>VALUATION</t>
  </si>
  <si>
    <t>Dezembro</t>
  </si>
  <si>
    <t>Comissões consultores</t>
  </si>
  <si>
    <t>Rescisões</t>
  </si>
  <si>
    <t>Recompra de cotas</t>
  </si>
  <si>
    <t>/6</t>
  </si>
  <si>
    <t>Título de Capitalização</t>
  </si>
  <si>
    <t>Título de Capitalização - Icatu - Augusto</t>
  </si>
  <si>
    <t>Seguro Auto - Allianz - Augusto</t>
  </si>
  <si>
    <t>Seguro Condomínio</t>
  </si>
  <si>
    <t>Seguro Condomínio - Allianz - Pedro</t>
  </si>
  <si>
    <t>Seguro Auto - Allianz - Andaluz</t>
  </si>
  <si>
    <t>Responsabilidade civil - Porto - Gaioso</t>
  </si>
  <si>
    <t>Seguro Viagem - Allianz - Andaluz</t>
  </si>
  <si>
    <t>Previdência - Saks - Gaioso</t>
  </si>
  <si>
    <t>Gamma</t>
  </si>
  <si>
    <t>ChatGPT e Claude</t>
  </si>
  <si>
    <t>Salário Igor Araujo - Tesouro Mato Grosso</t>
  </si>
  <si>
    <t>Comissão Cristiano - Tesouro Mato Grosso</t>
  </si>
  <si>
    <t>Honorários Financeiros</t>
  </si>
  <si>
    <t>Financiamentos</t>
  </si>
  <si>
    <t>Financiamentos - Gaioso</t>
  </si>
  <si>
    <t>Seguro Residencial - Tokio - Andaluz</t>
  </si>
  <si>
    <t>Seguro Residencial - HDI - Augusto</t>
  </si>
  <si>
    <t>Seguro Residencial - Allianz - Cristiano</t>
  </si>
  <si>
    <t>Seguro de Vida - Azos - Gaioso</t>
  </si>
  <si>
    <t>Seguro de Vida - Allianz - Augusto</t>
  </si>
  <si>
    <t>Planejamento - Cristiano</t>
  </si>
  <si>
    <t>Planejamento - Gaioso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</si>
</sst>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\$* #,##0.00_);_(\$* \(#,##0.00\);_(\$* \-??_);_(@_)"/>
    <numFmt numFmtId="165" formatCode="&quot;R$ &quot;#,##0.00"/>
    <numFmt numFmtId="166" formatCode="0.000%"/>
    <numFmt numFmtId="167" formatCode="mmm\-yy"/>
    <numFmt numFmtId="168" formatCode="#,##0.00_);\(#,##0.00\)"/>
    <numFmt numFmtId="169" formatCode="#,##0.00_ ;\-#,##0.00\ "/>
    <numFmt numFmtId="170" formatCode="0.0%"/>
    <numFmt numFmtId="171" formatCode="0.0000%"/>
    <numFmt numFmtId="172" formatCode="#,##0;\(#,##0\);\-"/>
    <numFmt numFmtId="173" formatCode="0.0%;\(0.0%\);\-"/>
    <numFmt numFmtId="174" formatCode="m/d/yyyy"/>
    <numFmt numFmtId="175" formatCode="d\-mmm"/>
    <numFmt numFmtId="176" formatCode="_-&quot;R$ &quot;* #,##0.00_-;&quot;-R$ &quot;* #,##0.00_-;_-&quot;R$ &quot;* \-??_-;_-@_-"/>
    <numFmt numFmtId="177" formatCode="&quot;R$&quot;\ #,##0.00"/>
    <numFmt numFmtId="178" formatCode="&quot;R$ &quot;#,##0;&quot;(R$ &quot;#,##0\);\-"/>
    <numFmt numFmtId="179" formatCode="0.0000"/>
  </numFmts>
  <fonts count="68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0.5"/>
      <color rgb="FF575757"/>
      <name val="Ping Pong"/>
      <charset val="1"/>
    </font>
    <font>
      <b/>
      <sz val="10.5"/>
      <color rgb="FF575757"/>
      <name val="Ping Pong"/>
      <charset val="1"/>
    </font>
    <font>
      <sz val="9"/>
      <color rgb="FF575757"/>
      <name val="Ping Pong"/>
      <charset val="1"/>
    </font>
    <font>
      <sz val="10.5"/>
      <color theme="0"/>
      <name val="Ping Pong"/>
      <charset val="1"/>
    </font>
    <font>
      <sz val="11"/>
      <color theme="6"/>
      <name val="Calibri"/>
      <family val="2"/>
      <charset val="1"/>
    </font>
    <font>
      <sz val="10.5"/>
      <color theme="1"/>
      <name val="Ping Pong"/>
      <charset val="1"/>
    </font>
    <font>
      <sz val="11"/>
      <color theme="7"/>
      <name val="Calibri"/>
      <family val="2"/>
      <charset val="1"/>
    </font>
    <font>
      <sz val="11"/>
      <color theme="9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i/>
      <sz val="10"/>
      <color rgb="FF444444"/>
      <name val="Arial"/>
      <family val="2"/>
    </font>
    <font>
      <i/>
      <sz val="10"/>
      <color rgb="FF333333"/>
      <name val="Arial"/>
      <family val="2"/>
    </font>
    <font>
      <i/>
      <sz val="9"/>
      <color rgb="FF444444"/>
      <name val="Arial"/>
      <family val="2"/>
    </font>
    <font>
      <b/>
      <sz val="9"/>
      <color rgb="FF00000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0"/>
      <color rgb="FF008000"/>
      <name val="Arial"/>
      <family val="2"/>
    </font>
    <font>
      <b/>
      <sz val="9"/>
      <color rgb="FF444444"/>
      <name val="Arial"/>
      <family val="2"/>
    </font>
    <font>
      <i/>
      <sz val="8"/>
      <color rgb="FFCCCCCC"/>
      <name val="Arial"/>
      <family val="2"/>
    </font>
    <font>
      <b/>
      <sz val="14"/>
      <color rgb="FFFFFFFF"/>
      <name val="Arial"/>
      <family val="2"/>
    </font>
    <font>
      <sz val="10.5"/>
      <color rgb="FFFFFFFF"/>
      <name val="Ping Pong"/>
      <charset val="1"/>
    </font>
    <font>
      <sz val="10.5"/>
      <color rgb="FF000000"/>
      <name val="Ping Pong"/>
      <charset val="1"/>
    </font>
    <font>
      <sz val="10"/>
      <color theme="1"/>
      <name val="Calibri"/>
      <family val="2"/>
      <charset val="1"/>
    </font>
    <font>
      <sz val="10"/>
      <color theme="5"/>
      <name val="Calibri"/>
      <family val="2"/>
      <charset val="1"/>
    </font>
    <font>
      <sz val="12"/>
      <color rgb="FFFFFFFF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rgb="FF000000"/>
      <name val="Montserrat Light"/>
      <charset val="1"/>
    </font>
    <font>
      <b/>
      <sz val="10"/>
      <name val="Arial"/>
      <family val="2"/>
    </font>
    <font>
      <sz val="10"/>
      <color theme="0"/>
      <name val="Arial"/>
      <family val="2"/>
    </font>
    <font>
      <sz val="8"/>
      <name val="Calibri"/>
      <family val="2"/>
      <charset val="1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575757"/>
      <name val="Ping Pong"/>
    </font>
    <font>
      <b/>
      <sz val="10.5"/>
      <color rgb="FF575757"/>
      <name val="Ping Pong"/>
    </font>
    <font>
      <sz val="9"/>
      <color theme="9" tint="-0.249977111117893"/>
      <name val="Ping Pong"/>
      <charset val="1"/>
    </font>
    <font>
      <sz val="10"/>
      <color theme="9" tint="-0.249977111117893"/>
      <name val="Arial"/>
      <family val="2"/>
    </font>
    <font>
      <sz val="10"/>
      <color theme="0" tint="-0.499984740745262"/>
      <name val="Arial"/>
      <family val="2"/>
    </font>
    <font>
      <sz val="9"/>
      <color rgb="FF000000"/>
      <name val="Arial"/>
      <family val="2"/>
    </font>
    <font>
      <sz val="10.5"/>
      <color theme="0"/>
      <name val="Ping Pong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charset val="1"/>
    </font>
    <font>
      <sz val="10"/>
      <color theme="3"/>
      <name val="Arial"/>
      <family val="2"/>
    </font>
    <font>
      <sz val="11"/>
      <color rgb="FF2F5687"/>
      <name val="Calibri"/>
      <family val="2"/>
      <charset val="1"/>
    </font>
    <font>
      <sz val="10"/>
      <color rgb="FF2F5687"/>
      <name val="Arial"/>
      <family val="2"/>
    </font>
    <font>
      <b/>
      <sz val="10.5"/>
      <color theme="0"/>
      <name val="Ping Pong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sz val="9"/>
      <color rgb="FF555555"/>
      <name val="Arial"/>
      <family val="2"/>
    </font>
    <font>
      <sz val="10"/>
      <color theme="2" tint="-0.499984740745262"/>
      <name val="Arial"/>
      <family val="2"/>
    </font>
    <font>
      <sz val="12"/>
      <color theme="0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0F3652"/>
        <bgColor rgb="FF103652"/>
      </patternFill>
    </fill>
    <fill>
      <patternFill patternType="solid">
        <fgColor theme="0" tint="-0.14999847407452621"/>
        <bgColor rgb="FFCED5EA"/>
      </patternFill>
    </fill>
    <fill>
      <patternFill patternType="solid">
        <fgColor rgb="FFFFFFFF"/>
        <bgColor rgb="FFFFFFFF"/>
      </patternFill>
    </fill>
    <fill>
      <patternFill patternType="solid">
        <fgColor rgb="FFF1F4F9"/>
        <bgColor rgb="FFEBF3FB"/>
      </patternFill>
    </fill>
    <fill>
      <patternFill patternType="solid">
        <fgColor theme="3" tint="-0.249977111117893"/>
        <bgColor rgb="FF16365C"/>
      </patternFill>
    </fill>
    <fill>
      <patternFill patternType="solid">
        <fgColor theme="0" tint="-0.249977111117893"/>
        <bgColor rgb="FFB3B3B3"/>
      </patternFill>
    </fill>
    <fill>
      <patternFill patternType="solid">
        <fgColor rgb="FF1F3864"/>
        <bgColor rgb="FF17375E"/>
      </patternFill>
    </fill>
    <fill>
      <patternFill patternType="solid">
        <fgColor rgb="FF2E415A"/>
        <bgColor rgb="FF1F3864"/>
      </patternFill>
    </fill>
    <fill>
      <patternFill patternType="solid">
        <fgColor rgb="FFFFFACD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4472C4"/>
        <bgColor rgb="FF4677C2"/>
      </patternFill>
    </fill>
    <fill>
      <patternFill patternType="solid">
        <fgColor rgb="FF5A9DD4"/>
        <bgColor rgb="FF4677C2"/>
      </patternFill>
    </fill>
    <fill>
      <patternFill patternType="solid">
        <fgColor rgb="FFE2EFDA"/>
        <bgColor rgb="FFE9EBF5"/>
      </patternFill>
    </fill>
    <fill>
      <patternFill patternType="solid">
        <fgColor rgb="FFEBF3FB"/>
        <bgColor rgb="FFF1F4F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ACD"/>
      </patternFill>
    </fill>
    <fill>
      <patternFill patternType="solid">
        <fgColor rgb="FFD5E4B9"/>
        <bgColor rgb="FFD9D9D9"/>
      </patternFill>
    </fill>
    <fill>
      <patternFill patternType="solid">
        <fgColor rgb="FFDDEBF7"/>
        <bgColor rgb="FFDCE6F2"/>
      </patternFill>
    </fill>
    <fill>
      <patternFill patternType="solid">
        <fgColor rgb="FF808080"/>
        <bgColor rgb="FF8064A2"/>
      </patternFill>
    </fill>
    <fill>
      <patternFill patternType="solid">
        <fgColor rgb="FF003354"/>
        <bgColor rgb="FF0F3652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4" tint="0.39988402966399123"/>
        <bgColor rgb="FFB3B3B3"/>
      </patternFill>
    </fill>
    <fill>
      <patternFill patternType="mediumGray">
        <fgColor rgb="FF4472C4"/>
        <bgColor rgb="FF4677C2"/>
      </patternFill>
    </fill>
    <fill>
      <patternFill patternType="solid">
        <fgColor rgb="FFCED5EA"/>
        <bgColor rgb="FFD9D9D9"/>
      </patternFill>
    </fill>
    <fill>
      <patternFill patternType="solid">
        <fgColor rgb="FFE9EBF5"/>
        <bgColor rgb="FFEBF3FB"/>
      </patternFill>
    </fill>
    <fill>
      <patternFill patternType="solid">
        <fgColor rgb="FF1B1D27"/>
        <bgColor rgb="FF103652"/>
      </patternFill>
    </fill>
    <fill>
      <patternFill patternType="solid">
        <fgColor rgb="FFD9E1F2"/>
        <bgColor indexed="64"/>
      </patternFill>
    </fill>
    <fill>
      <patternFill patternType="solid">
        <fgColor rgb="FF2E415A"/>
        <bgColor indexed="64"/>
      </patternFill>
    </fill>
    <fill>
      <patternFill patternType="solid">
        <fgColor rgb="FF2E415A"/>
        <bgColor rgb="FFFFF2CC"/>
      </patternFill>
    </fill>
    <fill>
      <patternFill patternType="solid">
        <fgColor rgb="FFFFFBCD"/>
        <bgColor indexed="64"/>
      </patternFill>
    </fill>
    <fill>
      <patternFill patternType="solid">
        <fgColor rgb="FF043557"/>
        <bgColor indexed="64"/>
      </patternFill>
    </fill>
    <fill>
      <patternFill patternType="solid">
        <fgColor rgb="FF043557"/>
        <bgColor rgb="FF0F3652"/>
      </patternFill>
    </fill>
    <fill>
      <patternFill patternType="solid">
        <fgColor rgb="FF033254"/>
        <bgColor indexed="64"/>
      </patternFill>
    </fill>
    <fill>
      <patternFill patternType="solid">
        <fgColor rgb="FFF1F4F9"/>
        <bgColor rgb="FFF1F4F9"/>
      </patternFill>
    </fill>
    <fill>
      <patternFill patternType="solid">
        <fgColor rgb="FF033254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5365C"/>
        <bgColor rgb="FFFFFFFF"/>
      </patternFill>
    </fill>
    <fill>
      <patternFill patternType="solid">
        <fgColor rgb="FF15365C"/>
        <bgColor indexed="64"/>
      </patternFill>
    </fill>
    <fill>
      <patternFill patternType="solid">
        <fgColor theme="5"/>
        <bgColor rgb="FFDCE6F2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043557"/>
        <bgColor rgb="FFFFFFFF"/>
      </patternFill>
    </fill>
    <fill>
      <patternFill patternType="solid">
        <fgColor rgb="FF043557"/>
        <bgColor rgb="FFF1F4F9"/>
      </patternFill>
    </fill>
    <fill>
      <patternFill patternType="solid">
        <fgColor rgb="FFC88C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  <bgColor rgb="FF444444"/>
      </patternFill>
    </fill>
    <fill>
      <patternFill patternType="solid">
        <fgColor rgb="FF2E5090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</fills>
  <borders count="5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theme="0" tint="-0.14999847407452621"/>
      </right>
      <top style="thin">
        <color theme="0" tint="-0.14999847407452621"/>
      </top>
      <bottom style="thin">
        <color auto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9847407452621"/>
      </top>
      <bottom style="thin">
        <color auto="1"/>
      </bottom>
      <diagonal/>
    </border>
    <border>
      <left/>
      <right/>
      <top/>
      <bottom style="medium">
        <color rgb="FF55555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14999847407452621"/>
      </right>
      <top style="thin">
        <color auto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/>
      <diagonal/>
    </border>
    <border>
      <left style="thin">
        <color theme="0" tint="-0.14999847407452621"/>
      </left>
      <right style="thin">
        <color auto="1"/>
      </right>
      <top style="thin">
        <color auto="1"/>
      </top>
      <bottom/>
      <diagonal/>
    </border>
    <border>
      <left style="thin">
        <color theme="0" tint="-0.1499984740745262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theme="0" tint="-0.1499984740745262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rgb="FFD9D9D9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9">
    <xf numFmtId="0" fontId="0" fillId="0" borderId="0"/>
    <xf numFmtId="9" fontId="3" fillId="0" borderId="0" applyBorder="0" applyAlignment="0" applyProtection="0"/>
    <xf numFmtId="164" fontId="4" fillId="0" borderId="0"/>
    <xf numFmtId="0" fontId="4" fillId="0" borderId="0"/>
    <xf numFmtId="9" fontId="4" fillId="0" borderId="0"/>
    <xf numFmtId="0" fontId="45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412">
    <xf numFmtId="0" fontId="0" fillId="0" borderId="0" xfId="0"/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6" fillId="4" borderId="11" xfId="0" applyNumberFormat="1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 wrapText="1"/>
    </xf>
    <xf numFmtId="165" fontId="9" fillId="2" borderId="12" xfId="0" applyNumberFormat="1" applyFont="1" applyFill="1" applyBorder="1" applyAlignment="1">
      <alignment horizontal="center" vertical="center"/>
    </xf>
    <xf numFmtId="165" fontId="6" fillId="4" borderId="14" xfId="0" applyNumberFormat="1" applyFont="1" applyFill="1" applyBorder="1" applyAlignment="1">
      <alignment horizontal="center" vertical="center"/>
    </xf>
    <xf numFmtId="165" fontId="11" fillId="7" borderId="11" xfId="0" applyNumberFormat="1" applyFont="1" applyFill="1" applyBorder="1" applyAlignment="1">
      <alignment horizontal="center" vertical="center" wrapText="1"/>
    </xf>
    <xf numFmtId="165" fontId="11" fillId="7" borderId="14" xfId="0" applyNumberFormat="1" applyFont="1" applyFill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/>
    </xf>
    <xf numFmtId="168" fontId="9" fillId="6" borderId="15" xfId="0" applyNumberFormat="1" applyFont="1" applyFill="1" applyBorder="1" applyAlignment="1">
      <alignment horizontal="left" vertical="center" wrapText="1"/>
    </xf>
    <xf numFmtId="165" fontId="9" fillId="6" borderId="16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165" fontId="9" fillId="6" borderId="15" xfId="0" applyNumberFormat="1" applyFont="1" applyFill="1" applyBorder="1" applyAlignment="1">
      <alignment horizontal="center" vertical="center" wrapText="1"/>
    </xf>
    <xf numFmtId="165" fontId="9" fillId="6" borderId="0" xfId="0" applyNumberFormat="1" applyFont="1" applyFill="1" applyAlignment="1">
      <alignment horizontal="center" vertical="center" wrapText="1"/>
    </xf>
    <xf numFmtId="10" fontId="9" fillId="6" borderId="16" xfId="0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horizontal="center"/>
    </xf>
    <xf numFmtId="0" fontId="17" fillId="10" borderId="0" xfId="0" applyFont="1" applyFill="1" applyAlignment="1">
      <alignment horizontal="left" vertical="center" indent="1"/>
    </xf>
    <xf numFmtId="3" fontId="18" fillId="10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left" vertical="center" indent="1"/>
    </xf>
    <xf numFmtId="171" fontId="18" fillId="10" borderId="0" xfId="0" applyNumberFormat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0" fillId="11" borderId="0" xfId="0" applyFont="1" applyFill="1"/>
    <xf numFmtId="3" fontId="21" fillId="14" borderId="0" xfId="0" applyNumberFormat="1" applyFont="1" applyFill="1" applyAlignment="1">
      <alignment horizontal="right" vertical="center"/>
    </xf>
    <xf numFmtId="3" fontId="20" fillId="11" borderId="0" xfId="0" applyNumberFormat="1" applyFont="1" applyFill="1" applyAlignment="1">
      <alignment horizontal="right" vertical="center"/>
    </xf>
    <xf numFmtId="0" fontId="20" fillId="15" borderId="0" xfId="0" applyFont="1" applyFill="1" applyAlignment="1">
      <alignment horizontal="left" vertical="center" indent="1"/>
    </xf>
    <xf numFmtId="0" fontId="20" fillId="16" borderId="0" xfId="0" applyFont="1" applyFill="1" applyAlignment="1">
      <alignment horizontal="left" vertical="center" indent="1"/>
    </xf>
    <xf numFmtId="172" fontId="20" fillId="16" borderId="0" xfId="0" applyNumberFormat="1" applyFont="1" applyFill="1" applyAlignment="1">
      <alignment horizontal="right" vertical="center"/>
    </xf>
    <xf numFmtId="0" fontId="17" fillId="4" borderId="0" xfId="0" applyFont="1" applyFill="1" applyAlignment="1">
      <alignment horizontal="left" vertical="center" indent="2"/>
    </xf>
    <xf numFmtId="172" fontId="17" fillId="4" borderId="0" xfId="0" applyNumberFormat="1" applyFont="1" applyFill="1" applyAlignment="1">
      <alignment horizontal="right" vertical="center"/>
    </xf>
    <xf numFmtId="172" fontId="20" fillId="4" borderId="0" xfId="0" applyNumberFormat="1" applyFont="1" applyFill="1" applyAlignment="1">
      <alignment horizontal="right" vertical="center"/>
    </xf>
    <xf numFmtId="0" fontId="20" fillId="11" borderId="18" xfId="0" applyFont="1" applyFill="1" applyBorder="1" applyAlignment="1">
      <alignment horizontal="left" vertical="center" indent="1"/>
    </xf>
    <xf numFmtId="172" fontId="20" fillId="11" borderId="18" xfId="0" applyNumberFormat="1" applyFont="1" applyFill="1" applyBorder="1" applyAlignment="1">
      <alignment horizontal="right" vertical="center"/>
    </xf>
    <xf numFmtId="172" fontId="20" fillId="17" borderId="18" xfId="0" applyNumberFormat="1" applyFont="1" applyFill="1" applyBorder="1" applyAlignment="1">
      <alignment horizontal="right" vertical="center"/>
    </xf>
    <xf numFmtId="0" fontId="17" fillId="4" borderId="0" xfId="0" applyFont="1" applyFill="1" applyAlignment="1">
      <alignment horizontal="left" vertical="center" indent="1"/>
    </xf>
    <xf numFmtId="0" fontId="20" fillId="18" borderId="18" xfId="0" applyFont="1" applyFill="1" applyBorder="1" applyAlignment="1">
      <alignment horizontal="left" vertical="center" indent="1"/>
    </xf>
    <xf numFmtId="172" fontId="20" fillId="18" borderId="18" xfId="0" applyNumberFormat="1" applyFont="1" applyFill="1" applyBorder="1" applyAlignment="1">
      <alignment horizontal="right" vertical="center"/>
    </xf>
    <xf numFmtId="0" fontId="23" fillId="4" borderId="0" xfId="0" applyFont="1" applyFill="1"/>
    <xf numFmtId="170" fontId="0" fillId="4" borderId="0" xfId="0" applyNumberFormat="1" applyFill="1" applyAlignment="1">
      <alignment horizontal="right" vertical="center"/>
    </xf>
    <xf numFmtId="0" fontId="25" fillId="11" borderId="0" xfId="0" applyFont="1" applyFill="1" applyAlignment="1">
      <alignment horizontal="center" vertical="center"/>
    </xf>
    <xf numFmtId="173" fontId="25" fillId="4" borderId="0" xfId="0" applyNumberFormat="1" applyFont="1" applyFill="1" applyAlignment="1">
      <alignment horizontal="center" vertical="center"/>
    </xf>
    <xf numFmtId="173" fontId="20" fillId="4" borderId="0" xfId="0" applyNumberFormat="1" applyFont="1" applyFill="1" applyAlignment="1">
      <alignment horizontal="center" vertical="center"/>
    </xf>
    <xf numFmtId="0" fontId="30" fillId="0" borderId="0" xfId="0" applyFont="1"/>
    <xf numFmtId="172" fontId="0" fillId="0" borderId="0" xfId="0" applyNumberFormat="1"/>
    <xf numFmtId="174" fontId="0" fillId="0" borderId="0" xfId="0" applyNumberFormat="1" applyAlignment="1">
      <alignment horizontal="center"/>
    </xf>
    <xf numFmtId="174" fontId="0" fillId="0" borderId="0" xfId="0" applyNumberFormat="1"/>
    <xf numFmtId="175" fontId="0" fillId="0" borderId="0" xfId="0" applyNumberFormat="1" applyAlignment="1">
      <alignment horizontal="center"/>
    </xf>
    <xf numFmtId="170" fontId="32" fillId="21" borderId="0" xfId="0" applyNumberFormat="1" applyFont="1" applyFill="1" applyAlignment="1">
      <alignment horizontal="center" vertical="center"/>
    </xf>
    <xf numFmtId="9" fontId="33" fillId="3" borderId="9" xfId="0" applyNumberFormat="1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left" vertical="center" wrapText="1"/>
    </xf>
    <xf numFmtId="167" fontId="7" fillId="5" borderId="20" xfId="0" applyNumberFormat="1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167" fontId="7" fillId="5" borderId="22" xfId="0" applyNumberFormat="1" applyFont="1" applyFill="1" applyBorder="1" applyAlignment="1">
      <alignment horizontal="center" vertical="center" wrapText="1"/>
    </xf>
    <xf numFmtId="167" fontId="7" fillId="5" borderId="21" xfId="0" applyNumberFormat="1" applyFont="1" applyFill="1" applyBorder="1" applyAlignment="1">
      <alignment horizontal="center" vertical="center" wrapText="1"/>
    </xf>
    <xf numFmtId="165" fontId="7" fillId="5" borderId="20" xfId="0" applyNumberFormat="1" applyFont="1" applyFill="1" applyBorder="1" applyAlignment="1">
      <alignment horizontal="center" vertical="center" wrapText="1"/>
    </xf>
    <xf numFmtId="165" fontId="7" fillId="5" borderId="21" xfId="0" applyNumberFormat="1" applyFont="1" applyFill="1" applyBorder="1" applyAlignment="1">
      <alignment horizontal="center" vertical="center" wrapText="1"/>
    </xf>
    <xf numFmtId="165" fontId="7" fillId="5" borderId="22" xfId="0" applyNumberFormat="1" applyFont="1" applyFill="1" applyBorder="1" applyAlignment="1">
      <alignment horizontal="center" vertical="center" wrapText="1"/>
    </xf>
    <xf numFmtId="165" fontId="7" fillId="5" borderId="23" xfId="0" applyNumberFormat="1" applyFont="1" applyFill="1" applyBorder="1" applyAlignment="1">
      <alignment horizontal="center" vertical="center" wrapText="1"/>
    </xf>
    <xf numFmtId="165" fontId="7" fillId="5" borderId="19" xfId="0" applyNumberFormat="1" applyFont="1" applyFill="1" applyBorder="1" applyAlignment="1">
      <alignment horizontal="center" vertical="center" wrapText="1"/>
    </xf>
    <xf numFmtId="168" fontId="9" fillId="6" borderId="19" xfId="0" applyNumberFormat="1" applyFont="1" applyFill="1" applyBorder="1" applyAlignment="1">
      <alignment horizontal="left" vertical="center" wrapText="1"/>
    </xf>
    <xf numFmtId="165" fontId="9" fillId="6" borderId="23" xfId="0" applyNumberFormat="1" applyFont="1" applyFill="1" applyBorder="1" applyAlignment="1">
      <alignment horizontal="center" vertical="center" wrapText="1"/>
    </xf>
    <xf numFmtId="165" fontId="9" fillId="6" borderId="22" xfId="0" applyNumberFormat="1" applyFont="1" applyFill="1" applyBorder="1" applyAlignment="1">
      <alignment horizontal="center" vertical="center" wrapText="1"/>
    </xf>
    <xf numFmtId="165" fontId="9" fillId="6" borderId="19" xfId="0" applyNumberFormat="1" applyFont="1" applyFill="1" applyBorder="1" applyAlignment="1">
      <alignment horizontal="center" vertical="center" wrapText="1"/>
    </xf>
    <xf numFmtId="170" fontId="32" fillId="21" borderId="9" xfId="0" applyNumberFormat="1" applyFont="1" applyFill="1" applyBorder="1" applyAlignment="1">
      <alignment horizontal="center" vertical="center"/>
    </xf>
    <xf numFmtId="165" fontId="33" fillId="7" borderId="9" xfId="0" applyNumberFormat="1" applyFont="1" applyFill="1" applyBorder="1" applyAlignment="1">
      <alignment horizontal="center" vertical="center" wrapText="1"/>
    </xf>
    <xf numFmtId="0" fontId="6" fillId="22" borderId="24" xfId="0" applyFont="1" applyFill="1" applyBorder="1" applyAlignment="1">
      <alignment horizontal="left" vertical="center"/>
    </xf>
    <xf numFmtId="165" fontId="0" fillId="22" borderId="1" xfId="0" applyNumberFormat="1" applyFill="1" applyBorder="1" applyAlignment="1">
      <alignment horizontal="center"/>
    </xf>
    <xf numFmtId="165" fontId="0" fillId="22" borderId="2" xfId="0" applyNumberFormat="1" applyFill="1" applyBorder="1" applyAlignment="1">
      <alignment horizontal="center"/>
    </xf>
    <xf numFmtId="165" fontId="0" fillId="22" borderId="3" xfId="0" applyNumberFormat="1" applyFill="1" applyBorder="1" applyAlignment="1">
      <alignment horizontal="center"/>
    </xf>
    <xf numFmtId="165" fontId="0" fillId="22" borderId="19" xfId="0" applyNumberFormat="1" applyFill="1" applyBorder="1" applyAlignment="1">
      <alignment horizontal="center"/>
    </xf>
    <xf numFmtId="0" fontId="6" fillId="4" borderId="14" xfId="0" applyFont="1" applyFill="1" applyBorder="1" applyAlignment="1">
      <alignment horizontal="left" vertical="center"/>
    </xf>
    <xf numFmtId="165" fontId="34" fillId="0" borderId="7" xfId="0" applyNumberFormat="1" applyFont="1" applyBorder="1" applyAlignment="1">
      <alignment horizontal="center"/>
    </xf>
    <xf numFmtId="165" fontId="34" fillId="0" borderId="0" xfId="0" applyNumberFormat="1" applyFont="1" applyAlignment="1">
      <alignment horizontal="center"/>
    </xf>
    <xf numFmtId="165" fontId="34" fillId="0" borderId="8" xfId="0" applyNumberFormat="1" applyFont="1" applyBorder="1" applyAlignment="1">
      <alignment horizontal="center"/>
    </xf>
    <xf numFmtId="165" fontId="34" fillId="0" borderId="25" xfId="0" applyNumberFormat="1" applyFont="1" applyBorder="1" applyAlignment="1">
      <alignment horizontal="center"/>
    </xf>
    <xf numFmtId="165" fontId="33" fillId="3" borderId="9" xfId="0" applyNumberFormat="1" applyFont="1" applyFill="1" applyBorder="1" applyAlignment="1">
      <alignment horizontal="center" vertical="center" wrapText="1"/>
    </xf>
    <xf numFmtId="0" fontId="6" fillId="22" borderId="14" xfId="0" applyFont="1" applyFill="1" applyBorder="1" applyAlignment="1">
      <alignment horizontal="left" vertical="center"/>
    </xf>
    <xf numFmtId="165" fontId="0" fillId="22" borderId="7" xfId="0" applyNumberFormat="1" applyFill="1" applyBorder="1" applyAlignment="1">
      <alignment horizontal="center"/>
    </xf>
    <xf numFmtId="165" fontId="0" fillId="22" borderId="0" xfId="0" applyNumberFormat="1" applyFill="1" applyAlignment="1">
      <alignment horizontal="center"/>
    </xf>
    <xf numFmtId="165" fontId="0" fillId="22" borderId="8" xfId="0" applyNumberFormat="1" applyFill="1" applyBorder="1" applyAlignment="1">
      <alignment horizontal="center"/>
    </xf>
    <xf numFmtId="165" fontId="0" fillId="22" borderId="25" xfId="0" applyNumberFormat="1" applyFill="1" applyBorder="1" applyAlignment="1">
      <alignment horizontal="center"/>
    </xf>
    <xf numFmtId="0" fontId="6" fillId="22" borderId="25" xfId="0" applyFont="1" applyFill="1" applyBorder="1" applyAlignment="1">
      <alignment horizontal="left" vertical="center"/>
    </xf>
    <xf numFmtId="165" fontId="35" fillId="0" borderId="8" xfId="0" applyNumberFormat="1" applyFont="1" applyBorder="1" applyAlignment="1">
      <alignment horizontal="center"/>
    </xf>
    <xf numFmtId="0" fontId="6" fillId="4" borderId="26" xfId="0" applyFont="1" applyFill="1" applyBorder="1" applyAlignment="1">
      <alignment horizontal="left" vertical="center"/>
    </xf>
    <xf numFmtId="165" fontId="35" fillId="0" borderId="0" xfId="0" applyNumberFormat="1" applyFont="1" applyAlignment="1">
      <alignment horizontal="center"/>
    </xf>
    <xf numFmtId="168" fontId="9" fillId="6" borderId="1" xfId="0" applyNumberFormat="1" applyFont="1" applyFill="1" applyBorder="1" applyAlignment="1">
      <alignment horizontal="left" vertical="center" wrapText="1"/>
    </xf>
    <xf numFmtId="176" fontId="0" fillId="0" borderId="0" xfId="0" applyNumberFormat="1"/>
    <xf numFmtId="0" fontId="32" fillId="21" borderId="11" xfId="0" applyFont="1" applyFill="1" applyBorder="1" applyAlignment="1">
      <alignment horizontal="center" vertical="center"/>
    </xf>
    <xf numFmtId="165" fontId="32" fillId="21" borderId="11" xfId="0" applyNumberFormat="1" applyFont="1" applyFill="1" applyBorder="1" applyAlignment="1">
      <alignment horizontal="center" vertical="center"/>
    </xf>
    <xf numFmtId="0" fontId="32" fillId="21" borderId="11" xfId="0" applyFont="1" applyFill="1" applyBorder="1" applyAlignment="1">
      <alignment vertical="center"/>
    </xf>
    <xf numFmtId="165" fontId="9" fillId="2" borderId="9" xfId="0" applyNumberFormat="1" applyFont="1" applyFill="1" applyBorder="1" applyAlignment="1">
      <alignment horizontal="center" vertical="center" wrapText="1"/>
    </xf>
    <xf numFmtId="10" fontId="32" fillId="21" borderId="9" xfId="0" applyNumberFormat="1" applyFont="1" applyFill="1" applyBorder="1" applyAlignment="1">
      <alignment horizontal="center" vertical="center"/>
    </xf>
    <xf numFmtId="0" fontId="36" fillId="21" borderId="5" xfId="0" applyFont="1" applyFill="1" applyBorder="1"/>
    <xf numFmtId="165" fontId="36" fillId="21" borderId="5" xfId="0" applyNumberFormat="1" applyFont="1" applyFill="1" applyBorder="1" applyAlignment="1">
      <alignment horizontal="center"/>
    </xf>
    <xf numFmtId="0" fontId="37" fillId="22" borderId="0" xfId="0" applyFont="1" applyFill="1"/>
    <xf numFmtId="165" fontId="37" fillId="22" borderId="0" xfId="0" applyNumberFormat="1" applyFont="1" applyFill="1" applyAlignment="1">
      <alignment horizontal="center"/>
    </xf>
    <xf numFmtId="9" fontId="37" fillId="22" borderId="0" xfId="0" applyNumberFormat="1" applyFont="1" applyFill="1" applyAlignment="1">
      <alignment horizontal="center"/>
    </xf>
    <xf numFmtId="0" fontId="37" fillId="22" borderId="5" xfId="0" applyFont="1" applyFill="1" applyBorder="1"/>
    <xf numFmtId="165" fontId="37" fillId="22" borderId="5" xfId="0" applyNumberFormat="1" applyFont="1" applyFill="1" applyBorder="1" applyAlignment="1">
      <alignment horizontal="center"/>
    </xf>
    <xf numFmtId="9" fontId="37" fillId="22" borderId="5" xfId="0" applyNumberFormat="1" applyFont="1" applyFill="1" applyBorder="1" applyAlignment="1">
      <alignment horizontal="center"/>
    </xf>
    <xf numFmtId="0" fontId="37" fillId="0" borderId="0" xfId="0" applyFont="1"/>
    <xf numFmtId="165" fontId="37" fillId="0" borderId="0" xfId="0" applyNumberFormat="1" applyFont="1" applyAlignment="1">
      <alignment horizontal="center"/>
    </xf>
    <xf numFmtId="9" fontId="37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5" xfId="0" applyNumberFormat="1" applyBorder="1"/>
    <xf numFmtId="10" fontId="0" fillId="0" borderId="0" xfId="0" applyNumberFormat="1" applyAlignment="1">
      <alignment horizontal="center"/>
    </xf>
    <xf numFmtId="0" fontId="5" fillId="2" borderId="0" xfId="0" applyFont="1" applyFill="1"/>
    <xf numFmtId="10" fontId="0" fillId="0" borderId="0" xfId="0" applyNumberFormat="1"/>
    <xf numFmtId="0" fontId="0" fillId="23" borderId="12" xfId="0" applyFill="1" applyBorder="1" applyAlignment="1">
      <alignment horizontal="left" textRotation="45"/>
    </xf>
    <xf numFmtId="0" fontId="38" fillId="23" borderId="12" xfId="0" applyFont="1" applyFill="1" applyBorder="1"/>
    <xf numFmtId="0" fontId="38" fillId="0" borderId="12" xfId="0" applyFont="1" applyBorder="1"/>
    <xf numFmtId="0" fontId="0" fillId="0" borderId="12" xfId="0" applyBorder="1"/>
    <xf numFmtId="165" fontId="38" fillId="0" borderId="12" xfId="0" applyNumberFormat="1" applyFont="1" applyBorder="1" applyAlignment="1">
      <alignment horizontal="center"/>
    </xf>
    <xf numFmtId="0" fontId="38" fillId="23" borderId="12" xfId="0" applyFont="1" applyFill="1" applyBorder="1" applyAlignment="1">
      <alignment horizontal="center"/>
    </xf>
    <xf numFmtId="0" fontId="0" fillId="0" borderId="0" xfId="0" applyAlignment="1">
      <alignment horizontal="left" textRotation="45"/>
    </xf>
    <xf numFmtId="9" fontId="0" fillId="0" borderId="0" xfId="0" applyNumberFormat="1"/>
    <xf numFmtId="165" fontId="11" fillId="7" borderId="13" xfId="0" applyNumberFormat="1" applyFont="1" applyFill="1" applyBorder="1" applyAlignment="1">
      <alignment horizontal="center" vertical="center" wrapText="1"/>
    </xf>
    <xf numFmtId="165" fontId="6" fillId="4" borderId="13" xfId="0" applyNumberFormat="1" applyFont="1" applyFill="1" applyBorder="1" applyAlignment="1">
      <alignment horizontal="center" vertical="center"/>
    </xf>
    <xf numFmtId="165" fontId="39" fillId="21" borderId="0" xfId="0" applyNumberFormat="1" applyFont="1" applyFill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9" fillId="21" borderId="0" xfId="0" applyFont="1" applyFill="1" applyAlignment="1">
      <alignment horizontal="center"/>
    </xf>
    <xf numFmtId="0" fontId="39" fillId="21" borderId="0" xfId="0" applyFont="1" applyFill="1"/>
    <xf numFmtId="9" fontId="39" fillId="21" borderId="0" xfId="0" applyNumberFormat="1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165" fontId="39" fillId="21" borderId="0" xfId="0" applyNumberFormat="1" applyFont="1" applyFill="1"/>
    <xf numFmtId="10" fontId="40" fillId="24" borderId="29" xfId="0" applyNumberFormat="1" applyFont="1" applyFill="1" applyBorder="1" applyAlignment="1">
      <alignment horizontal="center" wrapText="1" readingOrder="1"/>
    </xf>
    <xf numFmtId="170" fontId="39" fillId="21" borderId="0" xfId="0" applyNumberFormat="1" applyFont="1" applyFill="1" applyAlignment="1">
      <alignment horizontal="center"/>
    </xf>
    <xf numFmtId="10" fontId="40" fillId="25" borderId="30" xfId="0" applyNumberFormat="1" applyFont="1" applyFill="1" applyBorder="1" applyAlignment="1">
      <alignment horizontal="center" wrapText="1" readingOrder="1"/>
    </xf>
    <xf numFmtId="10" fontId="40" fillId="26" borderId="31" xfId="0" applyNumberFormat="1" applyFont="1" applyFill="1" applyBorder="1" applyAlignment="1">
      <alignment horizontal="center" wrapText="1" readingOrder="1"/>
    </xf>
    <xf numFmtId="10" fontId="40" fillId="25" borderId="31" xfId="0" applyNumberFormat="1" applyFont="1" applyFill="1" applyBorder="1" applyAlignment="1">
      <alignment horizontal="center" wrapText="1" readingOrder="1"/>
    </xf>
    <xf numFmtId="10" fontId="4" fillId="0" borderId="0" xfId="0" applyNumberFormat="1" applyFont="1"/>
    <xf numFmtId="0" fontId="39" fillId="0" borderId="0" xfId="0" applyFont="1"/>
    <xf numFmtId="176" fontId="4" fillId="0" borderId="0" xfId="0" applyNumberFormat="1" applyFont="1"/>
    <xf numFmtId="170" fontId="4" fillId="0" borderId="0" xfId="0" applyNumberFormat="1" applyFont="1" applyAlignment="1">
      <alignment horizontal="center"/>
    </xf>
    <xf numFmtId="167" fontId="39" fillId="27" borderId="0" xfId="0" applyNumberFormat="1" applyFont="1" applyFill="1" applyAlignment="1">
      <alignment horizontal="center"/>
    </xf>
    <xf numFmtId="0" fontId="19" fillId="11" borderId="0" xfId="0" applyFont="1" applyFill="1" applyAlignment="1">
      <alignment horizontal="center" vertical="center"/>
    </xf>
    <xf numFmtId="177" fontId="20" fillId="11" borderId="0" xfId="0" applyNumberFormat="1" applyFont="1" applyFill="1" applyAlignment="1">
      <alignment horizontal="center" vertical="center"/>
    </xf>
    <xf numFmtId="10" fontId="3" fillId="28" borderId="0" xfId="1" applyNumberFormat="1" applyFill="1" applyAlignment="1">
      <alignment horizontal="center" vertical="center"/>
    </xf>
    <xf numFmtId="10" fontId="41" fillId="28" borderId="0" xfId="1" applyNumberFormat="1" applyFont="1" applyFill="1" applyAlignment="1">
      <alignment horizontal="center" vertical="center"/>
    </xf>
    <xf numFmtId="177" fontId="20" fillId="15" borderId="0" xfId="0" applyNumberFormat="1" applyFont="1" applyFill="1" applyAlignment="1">
      <alignment horizontal="right" vertical="center"/>
    </xf>
    <xf numFmtId="0" fontId="0" fillId="11" borderId="0" xfId="0" applyFill="1" applyAlignment="1">
      <alignment horizontal="center"/>
    </xf>
    <xf numFmtId="0" fontId="26" fillId="19" borderId="0" xfId="0" applyFont="1" applyFill="1" applyAlignment="1">
      <alignment horizontal="center" vertical="center"/>
    </xf>
    <xf numFmtId="172" fontId="27" fillId="19" borderId="0" xfId="0" applyNumberFormat="1" applyFont="1" applyFill="1" applyAlignment="1">
      <alignment horizontal="center" vertical="center"/>
    </xf>
    <xf numFmtId="172" fontId="26" fillId="19" borderId="0" xfId="0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172" fontId="28" fillId="14" borderId="0" xfId="0" applyNumberFormat="1" applyFont="1" applyFill="1" applyAlignment="1">
      <alignment horizontal="center" vertical="center"/>
    </xf>
    <xf numFmtId="172" fontId="21" fillId="14" borderId="0" xfId="0" applyNumberFormat="1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177" fontId="0" fillId="4" borderId="0" xfId="0" applyNumberFormat="1" applyFill="1" applyAlignment="1">
      <alignment horizontal="right" vertical="center"/>
    </xf>
    <xf numFmtId="0" fontId="17" fillId="10" borderId="1" xfId="0" applyFont="1" applyFill="1" applyBorder="1" applyAlignment="1">
      <alignment horizontal="left" vertical="center" indent="1"/>
    </xf>
    <xf numFmtId="3" fontId="18" fillId="10" borderId="3" xfId="0" applyNumberFormat="1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left" vertical="center" indent="1"/>
    </xf>
    <xf numFmtId="3" fontId="18" fillId="10" borderId="8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 indent="1"/>
    </xf>
    <xf numFmtId="3" fontId="18" fillId="10" borderId="6" xfId="0" applyNumberFormat="1" applyFont="1" applyFill="1" applyBorder="1" applyAlignment="1">
      <alignment horizontal="center" vertical="center"/>
    </xf>
    <xf numFmtId="0" fontId="23" fillId="4" borderId="32" xfId="0" applyFont="1" applyFill="1" applyBorder="1"/>
    <xf numFmtId="170" fontId="0" fillId="4" borderId="32" xfId="0" applyNumberFormat="1" applyFill="1" applyBorder="1" applyAlignment="1">
      <alignment horizontal="right" vertical="center"/>
    </xf>
    <xf numFmtId="170" fontId="41" fillId="28" borderId="0" xfId="1" applyNumberFormat="1" applyFont="1" applyFill="1" applyAlignment="1">
      <alignment horizontal="center" vertical="center"/>
    </xf>
    <xf numFmtId="10" fontId="3" fillId="0" borderId="0" xfId="1" applyNumberFormat="1" applyAlignment="1">
      <alignment horizontal="center"/>
    </xf>
    <xf numFmtId="9" fontId="3" fillId="0" borderId="0" xfId="1"/>
    <xf numFmtId="10" fontId="3" fillId="0" borderId="0" xfId="1" applyNumberFormat="1"/>
    <xf numFmtId="10" fontId="3" fillId="0" borderId="0" xfId="1" applyNumberFormat="1" applyAlignment="1">
      <alignment horizontal="right"/>
    </xf>
    <xf numFmtId="0" fontId="5" fillId="29" borderId="0" xfId="0" applyFont="1" applyFill="1"/>
    <xf numFmtId="0" fontId="42" fillId="30" borderId="0" xfId="0" applyFont="1" applyFill="1" applyAlignment="1">
      <alignment horizontal="left" vertical="center" indent="1"/>
    </xf>
    <xf numFmtId="0" fontId="5" fillId="29" borderId="0" xfId="0" applyFont="1" applyFill="1" applyAlignment="1">
      <alignment horizontal="center"/>
    </xf>
    <xf numFmtId="0" fontId="17" fillId="10" borderId="33" xfId="0" applyFont="1" applyFill="1" applyBorder="1" applyAlignment="1">
      <alignment horizontal="left" vertical="center" indent="1"/>
    </xf>
    <xf numFmtId="9" fontId="3" fillId="31" borderId="34" xfId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77" fontId="3" fillId="0" borderId="7" xfId="1" applyNumberFormat="1" applyBorder="1" applyAlignment="1">
      <alignment horizontal="center"/>
    </xf>
    <xf numFmtId="10" fontId="3" fillId="0" borderId="7" xfId="1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25" fillId="11" borderId="7" xfId="0" applyFont="1" applyFill="1" applyBorder="1" applyAlignment="1">
      <alignment horizontal="center" vertical="center"/>
    </xf>
    <xf numFmtId="172" fontId="26" fillId="19" borderId="7" xfId="0" applyNumberFormat="1" applyFont="1" applyFill="1" applyBorder="1" applyAlignment="1">
      <alignment horizontal="center" vertical="center"/>
    </xf>
    <xf numFmtId="172" fontId="21" fillId="14" borderId="7" xfId="0" applyNumberFormat="1" applyFont="1" applyFill="1" applyBorder="1" applyAlignment="1">
      <alignment horizontal="center" vertical="center"/>
    </xf>
    <xf numFmtId="173" fontId="20" fillId="0" borderId="7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4" fillId="32" borderId="0" xfId="0" applyFont="1" applyFill="1"/>
    <xf numFmtId="177" fontId="4" fillId="0" borderId="0" xfId="0" applyNumberFormat="1" applyFont="1"/>
    <xf numFmtId="177" fontId="4" fillId="0" borderId="0" xfId="0" applyNumberFormat="1" applyFont="1" applyAlignment="1">
      <alignment horizontal="center"/>
    </xf>
    <xf numFmtId="0" fontId="39" fillId="33" borderId="0" xfId="0" applyFont="1" applyFill="1"/>
    <xf numFmtId="0" fontId="39" fillId="32" borderId="0" xfId="0" applyFont="1" applyFill="1"/>
    <xf numFmtId="177" fontId="39" fillId="21" borderId="0" xfId="0" applyNumberFormat="1" applyFont="1" applyFill="1" applyAlignment="1">
      <alignment horizontal="center"/>
    </xf>
    <xf numFmtId="170" fontId="3" fillId="0" borderId="0" xfId="1" applyNumberFormat="1" applyAlignment="1">
      <alignment horizontal="center"/>
    </xf>
    <xf numFmtId="177" fontId="0" fillId="0" borderId="0" xfId="0" applyNumberFormat="1"/>
    <xf numFmtId="170" fontId="3" fillId="0" borderId="0" xfId="0" applyNumberFormat="1" applyFont="1"/>
    <xf numFmtId="0" fontId="39" fillId="34" borderId="0" xfId="0" applyFont="1" applyFill="1"/>
    <xf numFmtId="165" fontId="39" fillId="34" borderId="0" xfId="0" applyNumberFormat="1" applyFont="1" applyFill="1" applyAlignment="1">
      <alignment horizontal="center"/>
    </xf>
    <xf numFmtId="9" fontId="5" fillId="34" borderId="0" xfId="0" applyNumberFormat="1" applyFont="1" applyFill="1" applyAlignment="1">
      <alignment horizontal="center"/>
    </xf>
    <xf numFmtId="177" fontId="5" fillId="34" borderId="0" xfId="0" applyNumberFormat="1" applyFont="1" applyFill="1" applyAlignment="1">
      <alignment horizontal="center"/>
    </xf>
    <xf numFmtId="177" fontId="39" fillId="34" borderId="0" xfId="0" applyNumberFormat="1" applyFont="1" applyFill="1" applyAlignment="1">
      <alignment horizontal="center"/>
    </xf>
    <xf numFmtId="0" fontId="45" fillId="0" borderId="0" xfId="5"/>
    <xf numFmtId="39" fontId="46" fillId="4" borderId="35" xfId="5" applyNumberFormat="1" applyFont="1" applyFill="1" applyBorder="1" applyAlignment="1">
      <alignment horizontal="right" vertical="center" wrapText="1"/>
    </xf>
    <xf numFmtId="0" fontId="46" fillId="4" borderId="35" xfId="5" applyFont="1" applyFill="1" applyBorder="1" applyAlignment="1">
      <alignment horizontal="left" vertical="center" wrapText="1"/>
    </xf>
    <xf numFmtId="0" fontId="46" fillId="4" borderId="35" xfId="5" applyFont="1" applyFill="1" applyBorder="1" applyAlignment="1">
      <alignment horizontal="left" vertical="center" wrapText="1" indent="1"/>
    </xf>
    <xf numFmtId="0" fontId="46" fillId="4" borderId="35" xfId="0" applyFont="1" applyFill="1" applyBorder="1" applyAlignment="1">
      <alignment horizontal="left" vertical="center" wrapText="1" indent="1"/>
    </xf>
    <xf numFmtId="0" fontId="46" fillId="4" borderId="35" xfId="0" applyFont="1" applyFill="1" applyBorder="1" applyAlignment="1">
      <alignment horizontal="right" vertical="center" wrapText="1"/>
    </xf>
    <xf numFmtId="39" fontId="46" fillId="4" borderId="35" xfId="0" applyNumberFormat="1" applyFont="1" applyFill="1" applyBorder="1" applyAlignment="1">
      <alignment horizontal="right" vertical="center" wrapText="1"/>
    </xf>
    <xf numFmtId="0" fontId="2" fillId="0" borderId="0" xfId="6"/>
    <xf numFmtId="169" fontId="45" fillId="0" borderId="0" xfId="5" applyNumberFormat="1"/>
    <xf numFmtId="165" fontId="9" fillId="36" borderId="11" xfId="0" applyNumberFormat="1" applyFont="1" applyFill="1" applyBorder="1" applyAlignment="1">
      <alignment horizontal="center" vertical="center"/>
    </xf>
    <xf numFmtId="0" fontId="2" fillId="0" borderId="0" xfId="6" applyAlignment="1">
      <alignment horizontal="center"/>
    </xf>
    <xf numFmtId="17" fontId="47" fillId="35" borderId="35" xfId="5" applyNumberFormat="1" applyFont="1" applyFill="1" applyBorder="1" applyAlignment="1">
      <alignment horizontal="center" vertical="center"/>
    </xf>
    <xf numFmtId="165" fontId="9" fillId="36" borderId="16" xfId="0" applyNumberFormat="1" applyFont="1" applyFill="1" applyBorder="1" applyAlignment="1">
      <alignment horizontal="center" vertical="center"/>
    </xf>
    <xf numFmtId="165" fontId="9" fillId="36" borderId="13" xfId="0" applyNumberFormat="1" applyFont="1" applyFill="1" applyBorder="1" applyAlignment="1">
      <alignment horizontal="center" vertical="center"/>
    </xf>
    <xf numFmtId="165" fontId="9" fillId="36" borderId="28" xfId="0" applyNumberFormat="1" applyFont="1" applyFill="1" applyBorder="1" applyAlignment="1">
      <alignment horizontal="center" vertical="center"/>
    </xf>
    <xf numFmtId="17" fontId="47" fillId="35" borderId="38" xfId="5" applyNumberFormat="1" applyFont="1" applyFill="1" applyBorder="1" applyAlignment="1">
      <alignment horizontal="center" vertical="center"/>
    </xf>
    <xf numFmtId="165" fontId="9" fillId="36" borderId="14" xfId="0" applyNumberFormat="1" applyFont="1" applyFill="1" applyBorder="1" applyAlignment="1">
      <alignment horizontal="center" vertical="center"/>
    </xf>
    <xf numFmtId="165" fontId="9" fillId="36" borderId="17" xfId="0" applyNumberFormat="1" applyFont="1" applyFill="1" applyBorder="1" applyAlignment="1">
      <alignment horizontal="center" vertical="center"/>
    </xf>
    <xf numFmtId="0" fontId="46" fillId="4" borderId="39" xfId="5" applyFont="1" applyFill="1" applyBorder="1" applyAlignment="1">
      <alignment horizontal="left" vertical="center"/>
    </xf>
    <xf numFmtId="168" fontId="9" fillId="6" borderId="13" xfId="6" applyNumberFormat="1" applyFont="1" applyFill="1" applyBorder="1" applyAlignment="1">
      <alignment horizontal="left" vertical="center" wrapText="1"/>
    </xf>
    <xf numFmtId="0" fontId="46" fillId="4" borderId="39" xfId="5" applyFont="1" applyFill="1" applyBorder="1" applyAlignment="1">
      <alignment horizontal="left" vertical="center" indent="1"/>
    </xf>
    <xf numFmtId="168" fontId="11" fillId="7" borderId="13" xfId="6" applyNumberFormat="1" applyFont="1" applyFill="1" applyBorder="1" applyAlignment="1">
      <alignment horizontal="left" vertical="center" wrapText="1"/>
    </xf>
    <xf numFmtId="168" fontId="11" fillId="7" borderId="13" xfId="6" applyNumberFormat="1" applyFont="1" applyFill="1" applyBorder="1" applyAlignment="1">
      <alignment horizontal="left" vertical="center"/>
    </xf>
    <xf numFmtId="0" fontId="46" fillId="4" borderId="39" xfId="6" applyFont="1" applyFill="1" applyBorder="1" applyAlignment="1">
      <alignment horizontal="left" vertical="center" wrapText="1" indent="1"/>
    </xf>
    <xf numFmtId="168" fontId="9" fillId="6" borderId="28" xfId="6" applyNumberFormat="1" applyFont="1" applyFill="1" applyBorder="1" applyAlignment="1">
      <alignment horizontal="left" vertical="center" wrapText="1"/>
    </xf>
    <xf numFmtId="0" fontId="47" fillId="35" borderId="36" xfId="5" applyFont="1" applyFill="1" applyBorder="1" applyAlignment="1">
      <alignment horizontal="center" vertical="center"/>
    </xf>
    <xf numFmtId="0" fontId="47" fillId="35" borderId="35" xfId="5" applyFont="1" applyFill="1" applyBorder="1" applyAlignment="1">
      <alignment horizontal="center" vertical="center"/>
    </xf>
    <xf numFmtId="0" fontId="47" fillId="35" borderId="37" xfId="5" applyFont="1" applyFill="1" applyBorder="1" applyAlignment="1">
      <alignment horizontal="center" vertical="center"/>
    </xf>
    <xf numFmtId="17" fontId="47" fillId="35" borderId="37" xfId="5" applyNumberFormat="1" applyFont="1" applyFill="1" applyBorder="1" applyAlignment="1">
      <alignment horizontal="center" vertical="center"/>
    </xf>
    <xf numFmtId="17" fontId="47" fillId="35" borderId="36" xfId="5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center"/>
    </xf>
    <xf numFmtId="170" fontId="12" fillId="0" borderId="0" xfId="0" applyNumberFormat="1" applyFont="1" applyAlignment="1">
      <alignment horizontal="center"/>
    </xf>
    <xf numFmtId="0" fontId="46" fillId="4" borderId="40" xfId="5" applyFont="1" applyFill="1" applyBorder="1" applyAlignment="1">
      <alignment horizontal="left" vertical="center"/>
    </xf>
    <xf numFmtId="10" fontId="8" fillId="4" borderId="42" xfId="0" applyNumberFormat="1" applyFont="1" applyFill="1" applyBorder="1" applyAlignment="1">
      <alignment horizontal="center" vertical="center"/>
    </xf>
    <xf numFmtId="10" fontId="8" fillId="4" borderId="10" xfId="0" applyNumberFormat="1" applyFont="1" applyFill="1" applyBorder="1" applyAlignment="1">
      <alignment horizontal="center" vertical="center"/>
    </xf>
    <xf numFmtId="10" fontId="8" fillId="4" borderId="43" xfId="0" applyNumberFormat="1" applyFont="1" applyFill="1" applyBorder="1" applyAlignment="1">
      <alignment horizontal="center" vertical="center"/>
    </xf>
    <xf numFmtId="168" fontId="9" fillId="6" borderId="44" xfId="0" applyNumberFormat="1" applyFont="1" applyFill="1" applyBorder="1" applyAlignment="1">
      <alignment horizontal="left" vertical="center" wrapText="1"/>
    </xf>
    <xf numFmtId="165" fontId="9" fillId="6" borderId="45" xfId="0" applyNumberFormat="1" applyFont="1" applyFill="1" applyBorder="1" applyAlignment="1">
      <alignment horizontal="center" vertical="center" wrapText="1"/>
    </xf>
    <xf numFmtId="165" fontId="9" fillId="6" borderId="44" xfId="0" applyNumberFormat="1" applyFont="1" applyFill="1" applyBorder="1" applyAlignment="1">
      <alignment horizontal="center" vertical="center" wrapText="1"/>
    </xf>
    <xf numFmtId="165" fontId="9" fillId="6" borderId="46" xfId="0" applyNumberFormat="1" applyFont="1" applyFill="1" applyBorder="1" applyAlignment="1">
      <alignment horizontal="center" vertical="center" wrapText="1"/>
    </xf>
    <xf numFmtId="165" fontId="9" fillId="6" borderId="33" xfId="0" applyNumberFormat="1" applyFont="1" applyFill="1" applyBorder="1" applyAlignment="1">
      <alignment horizontal="center" vertical="center" wrapText="1"/>
    </xf>
    <xf numFmtId="10" fontId="48" fillId="4" borderId="41" xfId="0" applyNumberFormat="1" applyFont="1" applyFill="1" applyBorder="1" applyAlignment="1">
      <alignment horizontal="center" vertical="center"/>
    </xf>
    <xf numFmtId="10" fontId="49" fillId="0" borderId="0" xfId="1" applyNumberFormat="1" applyFont="1"/>
    <xf numFmtId="168" fontId="9" fillId="0" borderId="0" xfId="0" applyNumberFormat="1" applyFont="1" applyAlignment="1">
      <alignment horizontal="left" vertical="center" wrapText="1"/>
    </xf>
    <xf numFmtId="165" fontId="9" fillId="0" borderId="0" xfId="0" applyNumberFormat="1" applyFont="1" applyAlignment="1">
      <alignment horizontal="center" vertical="center" wrapText="1"/>
    </xf>
    <xf numFmtId="3" fontId="22" fillId="0" borderId="8" xfId="0" applyNumberFormat="1" applyFont="1" applyBorder="1"/>
    <xf numFmtId="177" fontId="5" fillId="34" borderId="0" xfId="0" applyNumberFormat="1" applyFont="1" applyFill="1"/>
    <xf numFmtId="0" fontId="46" fillId="4" borderId="35" xfId="5" applyFont="1" applyFill="1" applyBorder="1" applyAlignment="1">
      <alignment horizontal="right" vertical="center" wrapText="1"/>
    </xf>
    <xf numFmtId="10" fontId="3" fillId="0" borderId="35" xfId="1" applyNumberFormat="1" applyBorder="1" applyAlignment="1">
      <alignment horizontal="center" vertical="center" wrapText="1"/>
    </xf>
    <xf numFmtId="166" fontId="3" fillId="0" borderId="0" xfId="1" applyNumberFormat="1"/>
    <xf numFmtId="39" fontId="46" fillId="4" borderId="35" xfId="5" applyNumberFormat="1" applyFont="1" applyFill="1" applyBorder="1" applyAlignment="1">
      <alignment horizontal="center" vertical="center" wrapText="1"/>
    </xf>
    <xf numFmtId="166" fontId="50" fillId="0" borderId="0" xfId="1" applyNumberFormat="1" applyFont="1" applyAlignment="1">
      <alignment horizontal="center"/>
    </xf>
    <xf numFmtId="0" fontId="0" fillId="37" borderId="0" xfId="0" applyFill="1"/>
    <xf numFmtId="166" fontId="45" fillId="0" borderId="0" xfId="5" applyNumberFormat="1"/>
    <xf numFmtId="166" fontId="41" fillId="28" borderId="0" xfId="1" applyNumberFormat="1" applyFont="1" applyFill="1" applyAlignment="1">
      <alignment horizontal="center" vertical="center"/>
    </xf>
    <xf numFmtId="39" fontId="45" fillId="0" borderId="0" xfId="5" applyNumberFormat="1"/>
    <xf numFmtId="177" fontId="41" fillId="28" borderId="0" xfId="1" applyNumberFormat="1" applyFont="1" applyFill="1" applyAlignment="1">
      <alignment horizontal="center" vertical="center"/>
    </xf>
    <xf numFmtId="0" fontId="51" fillId="37" borderId="0" xfId="0" applyFont="1" applyFill="1" applyAlignment="1">
      <alignment horizontal="center" vertical="center"/>
    </xf>
    <xf numFmtId="177" fontId="51" fillId="37" borderId="0" xfId="0" applyNumberFormat="1" applyFont="1" applyFill="1" applyAlignment="1">
      <alignment horizontal="center" vertical="center"/>
    </xf>
    <xf numFmtId="0" fontId="52" fillId="38" borderId="35" xfId="5" applyFont="1" applyFill="1" applyBorder="1" applyAlignment="1">
      <alignment horizontal="right" vertical="center" wrapText="1"/>
    </xf>
    <xf numFmtId="39" fontId="52" fillId="38" borderId="35" xfId="5" applyNumberFormat="1" applyFont="1" applyFill="1" applyBorder="1" applyAlignment="1">
      <alignment horizontal="center" vertical="center" wrapText="1"/>
    </xf>
    <xf numFmtId="0" fontId="53" fillId="39" borderId="0" xfId="5" applyFont="1" applyFill="1"/>
    <xf numFmtId="0" fontId="48" fillId="4" borderId="41" xfId="0" applyFont="1" applyFill="1" applyBorder="1" applyAlignment="1">
      <alignment horizontal="center" vertical="center"/>
    </xf>
    <xf numFmtId="17" fontId="39" fillId="21" borderId="0" xfId="0" applyNumberFormat="1" applyFont="1" applyFill="1" applyAlignment="1">
      <alignment horizontal="center"/>
    </xf>
    <xf numFmtId="0" fontId="0" fillId="0" borderId="5" xfId="0" applyBorder="1"/>
    <xf numFmtId="177" fontId="0" fillId="0" borderId="5" xfId="0" applyNumberFormat="1" applyBorder="1"/>
    <xf numFmtId="0" fontId="0" fillId="0" borderId="5" xfId="0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8" borderId="5" xfId="0" applyFill="1" applyBorder="1"/>
    <xf numFmtId="177" fontId="54" fillId="28" borderId="5" xfId="0" applyNumberFormat="1" applyFont="1" applyFill="1" applyBorder="1"/>
    <xf numFmtId="0" fontId="0" fillId="28" borderId="27" xfId="0" applyFill="1" applyBorder="1" applyAlignment="1">
      <alignment horizontal="center"/>
    </xf>
    <xf numFmtId="177" fontId="54" fillId="28" borderId="27" xfId="0" applyNumberFormat="1" applyFont="1" applyFill="1" applyBorder="1"/>
    <xf numFmtId="10" fontId="55" fillId="28" borderId="5" xfId="1" applyNumberFormat="1" applyFont="1" applyFill="1" applyBorder="1"/>
    <xf numFmtId="10" fontId="55" fillId="28" borderId="27" xfId="1" applyNumberFormat="1" applyFont="1" applyFill="1" applyBorder="1"/>
    <xf numFmtId="4" fontId="2" fillId="0" borderId="0" xfId="6" applyNumberFormat="1"/>
    <xf numFmtId="3" fontId="20" fillId="40" borderId="0" xfId="0" applyNumberFormat="1" applyFont="1" applyFill="1" applyAlignment="1">
      <alignment horizontal="right" vertical="center"/>
    </xf>
    <xf numFmtId="177" fontId="56" fillId="28" borderId="47" xfId="0" applyNumberFormat="1" applyFont="1" applyFill="1" applyBorder="1"/>
    <xf numFmtId="177" fontId="56" fillId="28" borderId="27" xfId="0" applyNumberFormat="1" applyFont="1" applyFill="1" applyBorder="1"/>
    <xf numFmtId="170" fontId="57" fillId="28" borderId="47" xfId="1" applyNumberFormat="1" applyFont="1" applyFill="1" applyBorder="1" applyAlignment="1">
      <alignment horizontal="right"/>
    </xf>
    <xf numFmtId="170" fontId="57" fillId="28" borderId="27" xfId="1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41" borderId="11" xfId="0" applyNumberFormat="1" applyFont="1" applyFill="1" applyBorder="1" applyAlignment="1">
      <alignment horizontal="center" vertical="center"/>
    </xf>
    <xf numFmtId="165" fontId="6" fillId="41" borderId="13" xfId="0" applyNumberFormat="1" applyFont="1" applyFill="1" applyBorder="1" applyAlignment="1">
      <alignment horizontal="center" vertical="center"/>
    </xf>
    <xf numFmtId="0" fontId="2" fillId="28" borderId="0" xfId="6" applyFill="1" applyAlignment="1">
      <alignment horizontal="center"/>
    </xf>
    <xf numFmtId="0" fontId="46" fillId="4" borderId="49" xfId="0" applyFont="1" applyFill="1" applyBorder="1" applyAlignment="1">
      <alignment horizontal="left" vertical="center" wrapText="1" indent="1"/>
    </xf>
    <xf numFmtId="39" fontId="46" fillId="4" borderId="49" xfId="5" applyNumberFormat="1" applyFont="1" applyFill="1" applyBorder="1" applyAlignment="1">
      <alignment horizontal="right" vertical="center" wrapText="1"/>
    </xf>
    <xf numFmtId="0" fontId="46" fillId="4" borderId="48" xfId="5" applyFont="1" applyFill="1" applyBorder="1" applyAlignment="1">
      <alignment horizontal="left" vertical="center" wrapText="1"/>
    </xf>
    <xf numFmtId="39" fontId="46" fillId="4" borderId="48" xfId="5" applyNumberFormat="1" applyFont="1" applyFill="1" applyBorder="1" applyAlignment="1">
      <alignment horizontal="right" vertical="center" wrapText="1"/>
    </xf>
    <xf numFmtId="0" fontId="46" fillId="4" borderId="49" xfId="5" applyFont="1" applyFill="1" applyBorder="1" applyAlignment="1">
      <alignment horizontal="left" vertical="center" wrapText="1" indent="1"/>
    </xf>
    <xf numFmtId="0" fontId="46" fillId="4" borderId="51" xfId="5" applyFont="1" applyFill="1" applyBorder="1" applyAlignment="1">
      <alignment horizontal="left" vertical="center" wrapText="1"/>
    </xf>
    <xf numFmtId="39" fontId="46" fillId="4" borderId="51" xfId="5" applyNumberFormat="1" applyFont="1" applyFill="1" applyBorder="1" applyAlignment="1">
      <alignment horizontal="right" vertical="center" wrapText="1"/>
    </xf>
    <xf numFmtId="0" fontId="46" fillId="4" borderId="50" xfId="5" applyFont="1" applyFill="1" applyBorder="1" applyAlignment="1">
      <alignment horizontal="left" vertical="center" wrapText="1"/>
    </xf>
    <xf numFmtId="39" fontId="46" fillId="4" borderId="50" xfId="5" applyNumberFormat="1" applyFont="1" applyFill="1" applyBorder="1" applyAlignment="1">
      <alignment horizontal="right" vertical="center" wrapText="1"/>
    </xf>
    <xf numFmtId="0" fontId="47" fillId="35" borderId="49" xfId="5" applyFont="1" applyFill="1" applyBorder="1" applyAlignment="1">
      <alignment horizontal="left" vertical="center" wrapText="1"/>
    </xf>
    <xf numFmtId="17" fontId="47" fillId="35" borderId="49" xfId="5" applyNumberFormat="1" applyFont="1" applyFill="1" applyBorder="1" applyAlignment="1">
      <alignment horizontal="left" vertical="center"/>
    </xf>
    <xf numFmtId="0" fontId="46" fillId="4" borderId="51" xfId="5" applyFont="1" applyFill="1" applyBorder="1" applyAlignment="1">
      <alignment horizontal="left" vertical="center" wrapText="1" indent="1"/>
    </xf>
    <xf numFmtId="0" fontId="46" fillId="4" borderId="49" xfId="5" applyFont="1" applyFill="1" applyBorder="1" applyAlignment="1">
      <alignment horizontal="left" vertical="center" wrapText="1"/>
    </xf>
    <xf numFmtId="39" fontId="46" fillId="4" borderId="49" xfId="0" applyNumberFormat="1" applyFont="1" applyFill="1" applyBorder="1" applyAlignment="1">
      <alignment horizontal="right" vertical="center" wrapText="1"/>
    </xf>
    <xf numFmtId="0" fontId="52" fillId="38" borderId="49" xfId="5" applyFont="1" applyFill="1" applyBorder="1" applyAlignment="1">
      <alignment horizontal="left" vertical="center" wrapText="1" indent="1"/>
    </xf>
    <xf numFmtId="170" fontId="3" fillId="0" borderId="0" xfId="1" applyNumberFormat="1" applyBorder="1" applyAlignment="1">
      <alignment horizontal="center"/>
    </xf>
    <xf numFmtId="0" fontId="44" fillId="0" borderId="0" xfId="6" applyFont="1" applyAlignment="1">
      <alignment horizontal="center"/>
    </xf>
    <xf numFmtId="177" fontId="2" fillId="0" borderId="0" xfId="6" applyNumberFormat="1"/>
    <xf numFmtId="177" fontId="2" fillId="0" borderId="0" xfId="6" applyNumberFormat="1" applyAlignment="1">
      <alignment horizontal="center"/>
    </xf>
    <xf numFmtId="0" fontId="2" fillId="0" borderId="0" xfId="0" applyFont="1"/>
    <xf numFmtId="0" fontId="2" fillId="0" borderId="0" xfId="6" applyAlignment="1">
      <alignment vertical="center" wrapText="1"/>
    </xf>
    <xf numFmtId="0" fontId="52" fillId="42" borderId="33" xfId="5" applyFont="1" applyFill="1" applyBorder="1" applyAlignment="1">
      <alignment horizontal="left" vertical="center"/>
    </xf>
    <xf numFmtId="17" fontId="58" fillId="43" borderId="47" xfId="5" applyNumberFormat="1" applyFont="1" applyFill="1" applyBorder="1" applyAlignment="1">
      <alignment horizontal="center" vertical="center"/>
    </xf>
    <xf numFmtId="0" fontId="58" fillId="43" borderId="47" xfId="5" applyFont="1" applyFill="1" applyBorder="1" applyAlignment="1">
      <alignment horizontal="center" vertical="center"/>
    </xf>
    <xf numFmtId="0" fontId="58" fillId="43" borderId="34" xfId="5" applyFont="1" applyFill="1" applyBorder="1" applyAlignment="1">
      <alignment horizontal="center" vertical="center"/>
    </xf>
    <xf numFmtId="0" fontId="47" fillId="4" borderId="52" xfId="5" applyFont="1" applyFill="1" applyBorder="1" applyAlignment="1">
      <alignment horizontal="left" vertical="center" indent="1"/>
    </xf>
    <xf numFmtId="165" fontId="6" fillId="0" borderId="8" xfId="0" applyNumberFormat="1" applyFont="1" applyBorder="1" applyAlignment="1">
      <alignment horizontal="center" vertical="center"/>
    </xf>
    <xf numFmtId="0" fontId="47" fillId="4" borderId="53" xfId="5" applyFont="1" applyFill="1" applyBorder="1" applyAlignment="1">
      <alignment horizontal="left" vertical="center" indent="1"/>
    </xf>
    <xf numFmtId="165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47" fillId="0" borderId="0" xfId="0" applyNumberFormat="1" applyFont="1" applyAlignment="1">
      <alignment horizontal="center" vertical="center"/>
    </xf>
    <xf numFmtId="165" fontId="47" fillId="0" borderId="8" xfId="0" applyNumberFormat="1" applyFont="1" applyBorder="1" applyAlignment="1">
      <alignment horizontal="center" vertical="center"/>
    </xf>
    <xf numFmtId="0" fontId="46" fillId="4" borderId="52" xfId="5" applyFont="1" applyFill="1" applyBorder="1" applyAlignment="1">
      <alignment horizontal="left" vertical="center" indent="1"/>
    </xf>
    <xf numFmtId="0" fontId="0" fillId="0" borderId="8" xfId="0" applyBorder="1"/>
    <xf numFmtId="0" fontId="46" fillId="4" borderId="7" xfId="5" applyFont="1" applyFill="1" applyBorder="1" applyAlignment="1">
      <alignment horizontal="left" vertical="center" indent="1"/>
    </xf>
    <xf numFmtId="0" fontId="47" fillId="4" borderId="33" xfId="5" applyFont="1" applyFill="1" applyBorder="1" applyAlignment="1">
      <alignment horizontal="left" vertical="center" indent="1"/>
    </xf>
    <xf numFmtId="165" fontId="47" fillId="0" borderId="47" xfId="0" applyNumberFormat="1" applyFont="1" applyBorder="1" applyAlignment="1">
      <alignment horizontal="center" vertical="center"/>
    </xf>
    <xf numFmtId="165" fontId="47" fillId="0" borderId="34" xfId="0" applyNumberFormat="1" applyFont="1" applyBorder="1" applyAlignment="1">
      <alignment horizontal="center" vertical="center"/>
    </xf>
    <xf numFmtId="165" fontId="52" fillId="32" borderId="34" xfId="0" applyNumberFormat="1" applyFont="1" applyFill="1" applyBorder="1" applyAlignment="1">
      <alignment horizontal="center" vertical="center"/>
    </xf>
    <xf numFmtId="169" fontId="0" fillId="0" borderId="0" xfId="0" applyNumberFormat="1"/>
    <xf numFmtId="177" fontId="9" fillId="6" borderId="15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7" fontId="9" fillId="6" borderId="0" xfId="0" applyNumberFormat="1" applyFont="1" applyFill="1" applyAlignment="1">
      <alignment horizontal="center" vertical="center" wrapText="1"/>
    </xf>
    <xf numFmtId="168" fontId="9" fillId="6" borderId="13" xfId="6" applyNumberFormat="1" applyFont="1" applyFill="1" applyBorder="1" applyAlignment="1">
      <alignment horizontal="left" vertical="center"/>
    </xf>
    <xf numFmtId="0" fontId="46" fillId="4" borderId="39" xfId="6" applyFont="1" applyFill="1" applyBorder="1" applyAlignment="1">
      <alignment horizontal="left" vertical="center" indent="1"/>
    </xf>
    <xf numFmtId="168" fontId="9" fillId="6" borderId="28" xfId="6" applyNumberFormat="1" applyFont="1" applyFill="1" applyBorder="1" applyAlignment="1">
      <alignment horizontal="left" vertical="center"/>
    </xf>
    <xf numFmtId="0" fontId="5" fillId="34" borderId="0" xfId="0" applyFont="1" applyFill="1"/>
    <xf numFmtId="0" fontId="5" fillId="34" borderId="0" xfId="0" applyFont="1" applyFill="1" applyAlignment="1">
      <alignment horizontal="center"/>
    </xf>
    <xf numFmtId="0" fontId="38" fillId="0" borderId="0" xfId="0" applyFont="1"/>
    <xf numFmtId="0" fontId="59" fillId="0" borderId="0" xfId="0" applyFont="1"/>
    <xf numFmtId="0" fontId="59" fillId="0" borderId="0" xfId="0" applyFont="1" applyAlignment="1">
      <alignment horizontal="right"/>
    </xf>
    <xf numFmtId="177" fontId="59" fillId="45" borderId="0" xfId="0" applyNumberFormat="1" applyFont="1" applyFill="1"/>
    <xf numFmtId="0" fontId="61" fillId="34" borderId="33" xfId="0" applyFont="1" applyFill="1" applyBorder="1" applyAlignment="1">
      <alignment horizontal="left"/>
    </xf>
    <xf numFmtId="0" fontId="61" fillId="34" borderId="1" xfId="0" applyFont="1" applyFill="1" applyBorder="1" applyAlignment="1">
      <alignment horizontal="left"/>
    </xf>
    <xf numFmtId="17" fontId="62" fillId="34" borderId="2" xfId="0" applyNumberFormat="1" applyFont="1" applyFill="1" applyBorder="1"/>
    <xf numFmtId="0" fontId="62" fillId="34" borderId="3" xfId="0" applyFont="1" applyFill="1" applyBorder="1" applyAlignment="1">
      <alignment horizontal="center"/>
    </xf>
    <xf numFmtId="0" fontId="61" fillId="44" borderId="33" xfId="0" applyFont="1" applyFill="1" applyBorder="1" applyAlignment="1">
      <alignment horizontal="left"/>
    </xf>
    <xf numFmtId="177" fontId="62" fillId="44" borderId="47" xfId="0" applyNumberFormat="1" applyFont="1" applyFill="1" applyBorder="1"/>
    <xf numFmtId="177" fontId="62" fillId="44" borderId="12" xfId="0" applyNumberFormat="1" applyFont="1" applyFill="1" applyBorder="1" applyAlignment="1">
      <alignment horizontal="center"/>
    </xf>
    <xf numFmtId="177" fontId="62" fillId="34" borderId="47" xfId="0" applyNumberFormat="1" applyFont="1" applyFill="1" applyBorder="1"/>
    <xf numFmtId="177" fontId="62" fillId="34" borderId="34" xfId="0" applyNumberFormat="1" applyFont="1" applyFill="1" applyBorder="1" applyAlignment="1">
      <alignment horizontal="center"/>
    </xf>
    <xf numFmtId="0" fontId="59" fillId="45" borderId="7" xfId="0" applyFont="1" applyFill="1" applyBorder="1" applyAlignment="1">
      <alignment horizontal="right"/>
    </xf>
    <xf numFmtId="177" fontId="0" fillId="45" borderId="25" xfId="0" applyNumberFormat="1" applyFill="1" applyBorder="1" applyAlignment="1">
      <alignment horizontal="center"/>
    </xf>
    <xf numFmtId="0" fontId="60" fillId="45" borderId="7" xfId="0" applyFont="1" applyFill="1" applyBorder="1" applyAlignment="1">
      <alignment horizontal="right"/>
    </xf>
    <xf numFmtId="0" fontId="17" fillId="48" borderId="54" xfId="0" applyFont="1" applyFill="1" applyBorder="1" applyAlignment="1">
      <alignment horizontal="left" vertical="center" wrapText="1"/>
    </xf>
    <xf numFmtId="178" fontId="63" fillId="48" borderId="54" xfId="0" applyNumberFormat="1" applyFont="1" applyFill="1" applyBorder="1" applyAlignment="1">
      <alignment horizontal="right" vertical="center"/>
    </xf>
    <xf numFmtId="170" fontId="63" fillId="48" borderId="54" xfId="0" applyNumberFormat="1" applyFont="1" applyFill="1" applyBorder="1" applyAlignment="1">
      <alignment horizontal="right" vertical="center"/>
    </xf>
    <xf numFmtId="0" fontId="16" fillId="47" borderId="54" xfId="0" applyFont="1" applyFill="1" applyBorder="1" applyAlignment="1">
      <alignment horizontal="center" vertical="center" wrapText="1"/>
    </xf>
    <xf numFmtId="0" fontId="17" fillId="49" borderId="54" xfId="0" applyFont="1" applyFill="1" applyBorder="1" applyAlignment="1">
      <alignment horizontal="left" vertical="center" wrapText="1"/>
    </xf>
    <xf numFmtId="178" fontId="17" fillId="49" borderId="54" xfId="0" applyNumberFormat="1" applyFont="1" applyFill="1" applyBorder="1" applyAlignment="1">
      <alignment horizontal="right" vertical="center"/>
    </xf>
    <xf numFmtId="0" fontId="17" fillId="49" borderId="54" xfId="0" applyFont="1" applyFill="1" applyBorder="1" applyAlignment="1">
      <alignment horizontal="center" vertical="center" wrapText="1"/>
    </xf>
    <xf numFmtId="0" fontId="17" fillId="50" borderId="54" xfId="0" applyFont="1" applyFill="1" applyBorder="1" applyAlignment="1">
      <alignment horizontal="left" vertical="center" wrapText="1"/>
    </xf>
    <xf numFmtId="178" fontId="17" fillId="50" borderId="54" xfId="0" applyNumberFormat="1" applyFont="1" applyFill="1" applyBorder="1" applyAlignment="1">
      <alignment horizontal="right" vertical="center"/>
    </xf>
    <xf numFmtId="179" fontId="17" fillId="49" borderId="54" xfId="0" applyNumberFormat="1" applyFont="1" applyFill="1" applyBorder="1" applyAlignment="1">
      <alignment horizontal="right" vertical="center"/>
    </xf>
    <xf numFmtId="0" fontId="20" fillId="51" borderId="54" xfId="0" applyFont="1" applyFill="1" applyBorder="1" applyAlignment="1">
      <alignment horizontal="left" vertical="center" wrapText="1"/>
    </xf>
    <xf numFmtId="178" fontId="21" fillId="51" borderId="54" xfId="0" applyNumberFormat="1" applyFont="1" applyFill="1" applyBorder="1" applyAlignment="1">
      <alignment horizontal="right" vertical="center"/>
    </xf>
    <xf numFmtId="178" fontId="0" fillId="0" borderId="0" xfId="0" applyNumberFormat="1"/>
    <xf numFmtId="0" fontId="65" fillId="0" borderId="0" xfId="0" applyFont="1" applyAlignment="1">
      <alignment vertical="center" wrapText="1"/>
    </xf>
    <xf numFmtId="9" fontId="66" fillId="0" borderId="0" xfId="1" applyFont="1" applyAlignment="1">
      <alignment horizontal="center"/>
    </xf>
    <xf numFmtId="177" fontId="17" fillId="49" borderId="54" xfId="0" applyNumberFormat="1" applyFont="1" applyFill="1" applyBorder="1" applyAlignment="1">
      <alignment horizontal="right" vertical="center"/>
    </xf>
    <xf numFmtId="14" fontId="0" fillId="0" borderId="33" xfId="0" applyNumberFormat="1" applyBorder="1"/>
    <xf numFmtId="0" fontId="0" fillId="0" borderId="34" xfId="0" applyBorder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55" xfId="0" applyBorder="1"/>
    <xf numFmtId="177" fontId="0" fillId="0" borderId="55" xfId="0" applyNumberFormat="1" applyBorder="1" applyAlignment="1">
      <alignment horizontal="center"/>
    </xf>
    <xf numFmtId="177" fontId="0" fillId="0" borderId="32" xfId="0" applyNumberFormat="1" applyBorder="1" applyAlignment="1">
      <alignment horizontal="center"/>
    </xf>
    <xf numFmtId="14" fontId="0" fillId="0" borderId="0" xfId="0" applyNumberFormat="1"/>
    <xf numFmtId="0" fontId="0" fillId="28" borderId="0" xfId="0" applyFill="1" applyAlignment="1">
      <alignment horizontal="center"/>
    </xf>
    <xf numFmtId="0" fontId="0" fillId="28" borderId="0" xfId="0" applyFill="1"/>
    <xf numFmtId="177" fontId="54" fillId="28" borderId="0" xfId="0" applyNumberFormat="1" applyFont="1" applyFill="1"/>
    <xf numFmtId="10" fontId="55" fillId="28" borderId="0" xfId="1" applyNumberFormat="1" applyFont="1" applyFill="1" applyBorder="1"/>
    <xf numFmtId="0" fontId="32" fillId="21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 indent="1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0" fontId="39" fillId="21" borderId="0" xfId="0" applyFont="1" applyFill="1" applyAlignment="1">
      <alignment horizontal="center" vertical="center"/>
    </xf>
    <xf numFmtId="0" fontId="0" fillId="28" borderId="0" xfId="0" applyFill="1" applyAlignment="1">
      <alignment horizontal="center"/>
    </xf>
    <xf numFmtId="0" fontId="0" fillId="28" borderId="47" xfId="0" applyFill="1" applyBorder="1" applyAlignment="1">
      <alignment horizontal="center"/>
    </xf>
    <xf numFmtId="0" fontId="0" fillId="28" borderId="27" xfId="0" applyFill="1" applyBorder="1" applyAlignment="1">
      <alignment horizontal="center"/>
    </xf>
    <xf numFmtId="0" fontId="38" fillId="22" borderId="12" xfId="0" applyFont="1" applyFill="1" applyBorder="1" applyAlignment="1">
      <alignment horizontal="center"/>
    </xf>
    <xf numFmtId="0" fontId="0" fillId="0" borderId="12" xfId="0" applyBorder="1" applyAlignment="1">
      <alignment horizontal="center" textRotation="45"/>
    </xf>
    <xf numFmtId="0" fontId="14" fillId="46" borderId="0" xfId="0" applyFont="1" applyFill="1" applyAlignment="1">
      <alignment horizontal="center" vertical="center" wrapText="1"/>
    </xf>
    <xf numFmtId="0" fontId="16" fillId="47" borderId="0" xfId="0" applyFont="1" applyFill="1" applyAlignment="1">
      <alignment horizontal="center" vertical="center" wrapText="1"/>
    </xf>
    <xf numFmtId="0" fontId="64" fillId="46" borderId="0" xfId="0" applyFont="1" applyFill="1" applyAlignment="1">
      <alignment horizontal="center" vertical="center" wrapText="1"/>
    </xf>
    <xf numFmtId="0" fontId="67" fillId="34" borderId="0" xfId="0" applyFont="1" applyFill="1"/>
    <xf numFmtId="165" fontId="67" fillId="34" borderId="0" xfId="0" applyNumberFormat="1" applyFont="1" applyFill="1" applyAlignment="1">
      <alignment horizontal="center"/>
    </xf>
    <xf numFmtId="0" fontId="67" fillId="34" borderId="0" xfId="0" applyFont="1" applyFill="1" applyAlignment="1">
      <alignment horizontal="center"/>
    </xf>
    <xf numFmtId="177" fontId="67" fillId="34" borderId="0" xfId="0" applyNumberFormat="1" applyFont="1" applyFill="1"/>
  </cellXfs>
  <cellStyles count="9">
    <cellStyle name="Moeda 2" xfId="2" xr:uid="{00000000-0005-0000-0000-000006000000}"/>
    <cellStyle name="Normal" xfId="0" builtinId="0"/>
    <cellStyle name="Normal 2" xfId="3" xr:uid="{00000000-0005-0000-0000-000007000000}"/>
    <cellStyle name="Normal 3" xfId="5" xr:uid="{8CA6817E-6657-BB45-8F22-E28D6D561702}"/>
    <cellStyle name="Normal 4" xfId="6" xr:uid="{56D621BF-3DF7-DD4D-8D4D-0CF78D7B6B3B}"/>
    <cellStyle name="Normal 5" xfId="7" xr:uid="{CDA7D39F-38B2-F44E-9304-9A40F2A16FA4}"/>
    <cellStyle name="Porcentagem" xfId="1" builtinId="5"/>
    <cellStyle name="Porcentagem 2" xfId="4" xr:uid="{00000000-0005-0000-0000-000008000000}"/>
    <cellStyle name="Porcentagem 3" xfId="8" xr:uid="{BD4E10D2-FE70-DA41-B9EC-70CA9D263B66}"/>
  </cellStyles>
  <dxfs count="1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&quot;R$ 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0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033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65" formatCode="&quot;R$ &quot;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3325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numFmt numFmtId="13" formatCode="0%"/>
      <fill>
        <patternFill patternType="solid">
          <fgColor rgb="FF0F3652"/>
          <bgColor rgb="FF0033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&quot;R$ 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numFmt numFmtId="165" formatCode="&quot;R$ &quot;#,##0.00"/>
    </dxf>
    <dxf>
      <alignment horizontal="center" vertical="bottom" textRotation="0" wrapText="0" indent="0" justifyLastLine="0" shrinkToFit="0" readingOrder="0"/>
    </dxf>
    <dxf>
      <numFmt numFmtId="170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4355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4355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0.0%"/>
    </dxf>
    <dxf>
      <numFmt numFmtId="170" formatCode="0.0%"/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033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numFmt numFmtId="170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03354"/>
        </patternFill>
      </fill>
      <alignment horizontal="center" vertical="bottom" textRotation="0" wrapText="0" indent="0" justifyLastLine="0" shrinkToFit="0" readingOrder="0"/>
    </dxf>
    <dxf>
      <numFmt numFmtId="170" formatCode="0.0%"/>
      <alignment horizontal="center" vertical="bottom" textRotation="0" wrapText="0" indent="0" justifyLastLine="0" shrinkToFit="0" readingOrder="0"/>
    </dxf>
    <dxf>
      <numFmt numFmtId="170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0335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4355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numFmt numFmtId="17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numFmt numFmtId="13" formatCode="0%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numFmt numFmtId="165" formatCode="&quot;R$ &quot;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numFmt numFmtId="177" formatCode="&quot;R$&quot;\ #,##0.00"/>
      <fill>
        <patternFill patternType="solid">
          <fgColor indexed="64"/>
          <bgColor rgb="FF03325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7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strike val="0"/>
        <outline val="0"/>
        <shadow val="0"/>
        <u val="none"/>
        <vertAlign val="baseline"/>
        <color theme="0"/>
        <name val="Calibri"/>
        <family val="2"/>
        <charset val="1"/>
        <scheme val="none"/>
      </font>
      <fill>
        <patternFill patternType="solid">
          <fgColor indexed="64"/>
          <bgColor rgb="FF03325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65" formatCode="&quot;R$ &quot;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numFmt numFmtId="170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 patternType="solid">
          <fgColor rgb="FF0F3652"/>
          <bgColor rgb="FF003354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charset val="1"/>
        <scheme val="none"/>
      </font>
      <fill>
        <patternFill>
          <bgColor rgb="FF043557"/>
        </patternFill>
      </fill>
    </dxf>
    <dxf>
      <font>
        <color theme="0"/>
      </font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0335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0"/>
      </font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0335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0"/>
      </font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0335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theme="0"/>
      </font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0335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4" defaultTableStyle="TableStyleMedium2" defaultPivotStyle="PivotStyleLight16">
    <tableStyle name="Andlz" pivot="0" table="0" count="11" xr9:uid="{2FC45DE0-7F05-244E-AB1B-90F3392F8118}">
      <tableStyleElement type="wholeTable" dxfId="161"/>
      <tableStyleElement type="headerRow" dxfId="160"/>
      <tableStyleElement type="firstColumnStripe" dxfId="159"/>
    </tableStyle>
    <tableStyle name="Andlz 2" pivot="0" table="0" count="11" xr9:uid="{69C24C8D-A778-CD4F-8B53-78F9858E7773}">
      <tableStyleElement type="wholeTable" dxfId="158"/>
      <tableStyleElement type="headerRow" dxfId="157"/>
      <tableStyleElement type="firstColumnStripe" dxfId="156"/>
    </tableStyle>
    <tableStyle name="Andlz 3" pivot="0" table="0" count="11" xr9:uid="{05CC0CA3-BB76-3A47-8C44-1617A2FCBD04}">
      <tableStyleElement type="wholeTable" dxfId="155"/>
      <tableStyleElement type="headerRow" dxfId="154"/>
      <tableStyleElement type="firstColumnStripe" dxfId="153"/>
    </tableStyle>
    <tableStyle name="Andlz 4" pivot="0" table="0" count="11" xr9:uid="{4F2F3057-8C17-3344-90F1-F559A4084FE2}">
      <tableStyleElement type="wholeTable" dxfId="152"/>
      <tableStyleElement type="headerRow" dxfId="151"/>
      <tableStyleElement type="firstColumnStripe" dxfId="150"/>
    </tableStyle>
  </tableStyles>
  <colors>
    <indexedColors>
      <rgbColor rgb="FF000000"/>
      <rgbColor rgb="FFFFFFFF"/>
      <rgbColor rgb="FFFF3B30"/>
      <rgbColor rgb="FFE9EBF5"/>
      <rgbColor rgb="FF0000FF"/>
      <rgbColor rgb="FFFCE4D6"/>
      <rgbColor rgb="FFF1F4F9"/>
      <rgbColor rgb="FFD9E1F2"/>
      <rgbColor rgb="FF9C0006"/>
      <rgbColor rgb="FF008000"/>
      <rgbColor rgb="FF16365C"/>
      <rgbColor rgb="FFB25E00"/>
      <rgbColor rgb="FF2E415A"/>
      <rgbColor rgb="FF4677C2"/>
      <rgbColor rgb="FFBFBFBF"/>
      <rgbColor rgb="FF808080"/>
      <rgbColor rgb="FF95B3D7"/>
      <rgbColor rgb="FFC0504D"/>
      <rgbColor rgb="FFFFFACD"/>
      <rgbColor rgb="FFDDEBF7"/>
      <rgbColor rgb="FF444444"/>
      <rgbColor rgb="FFF5965B"/>
      <rgbColor rgb="FF0070C0"/>
      <rgbColor rgb="FFCED5EA"/>
      <rgbColor rgb="FF103652"/>
      <rgbColor rgb="31FFFFFF"/>
      <rgbColor rgb="FFE2EFDA"/>
      <rgbColor rgb="FFDCE6F2"/>
      <rgbColor rgb="FF555555"/>
      <rgbColor rgb="FF595959"/>
      <rgbColor rgb="FF006100"/>
      <rgbColor rgb="FF17375E"/>
      <rgbColor rgb="FF666666"/>
      <rgbColor rgb="FFEBF3FB"/>
      <rgbColor rgb="FFC6EFCE"/>
      <rgbColor rgb="FFFFF2CC"/>
      <rgbColor rgb="FF99CCFF"/>
      <rgbColor rgb="FFD9D9D9"/>
      <rgbColor rgb="FFCCCCCC"/>
      <rgbColor rgb="FFFFC7CE"/>
      <rgbColor rgb="FF4472C4"/>
      <rgbColor rgb="FF5A9DD4"/>
      <rgbColor rgb="FF9BBB59"/>
      <rgbColor rgb="FFD5E4B9"/>
      <rgbColor rgb="FFB25E01"/>
      <rgbColor rgb="FFED7D31"/>
      <rgbColor rgb="FF8064A2"/>
      <rgbColor rgb="FFB3B3B3"/>
      <rgbColor rgb="FF003354"/>
      <rgbColor rgb="FF02B752"/>
      <rgbColor rgb="FF0F3652"/>
      <rgbColor rgb="FF1B1D27"/>
      <rgbColor rgb="FFB25D01"/>
      <rgbColor rgb="FF575757"/>
      <rgbColor rgb="FF1F3864"/>
      <rgbColor rgb="FF3737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33254"/>
      <color rgb="FFC88C4B"/>
      <color rgb="FF15365C"/>
      <color rgb="FF34C759"/>
      <color rgb="FFFB3B30"/>
      <color rgb="FF2F5687"/>
      <color rgb="FFD9E1F2"/>
      <color rgb="FFB9B9B9"/>
      <color rgb="FF2E415A"/>
      <color rgb="FFFFFBCD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Andlz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Andlz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Andlz 3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Andlz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rgbClr val="B25E00"/>
                </a:solidFill>
                <a:uFillTx/>
                <a:latin typeface="Calibri"/>
              </a:rPr>
              <a:t>Caixa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0F3652"/>
              </a:solidFill>
              <a:round/>
            </a:ln>
          </c:spPr>
          <c:marker>
            <c:symbol val="none"/>
          </c:marker>
          <c:dLbls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Caixa!$F$5:$Q$5</c:f>
              <c:strCache>
                <c:ptCount val="12"/>
                <c:pt idx="0">
                  <c:v>jan-26</c:v>
                </c:pt>
                <c:pt idx="1">
                  <c:v>fev/26</c:v>
                </c:pt>
                <c:pt idx="2">
                  <c:v>mar-26</c:v>
                </c:pt>
                <c:pt idx="3">
                  <c:v>abr-26</c:v>
                </c:pt>
                <c:pt idx="4">
                  <c:v>mai-26</c:v>
                </c:pt>
                <c:pt idx="5">
                  <c:v>jun-26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Caixa!$F$6:$L$6</c:f>
              <c:numCache>
                <c:formatCode>"R$ "#,##0.00</c:formatCode>
                <c:ptCount val="7"/>
                <c:pt idx="0">
                  <c:v>328679.42</c:v>
                </c:pt>
                <c:pt idx="1">
                  <c:v>326651.90999999997</c:v>
                </c:pt>
                <c:pt idx="2">
                  <c:v>359161.59</c:v>
                </c:pt>
                <c:pt idx="3">
                  <c:v>358806.95999999996</c:v>
                </c:pt>
                <c:pt idx="4">
                  <c:v>423235.4800000001</c:v>
                </c:pt>
                <c:pt idx="5">
                  <c:v>430815.65</c:v>
                </c:pt>
                <c:pt idx="6">
                  <c:v>358819.06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A-F443-94DE-7412D7038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157041"/>
        <c:axId val="23019454"/>
      </c:lineChart>
      <c:catAx>
        <c:axId val="45157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B25E00"/>
                </a:solidFill>
                <a:uFillTx/>
                <a:latin typeface="Calibri"/>
              </a:defRPr>
            </a:pPr>
            <a:endParaRPr lang="pt-BR"/>
          </a:p>
        </c:txPr>
        <c:crossAx val="23019454"/>
        <c:crosses val="autoZero"/>
        <c:auto val="1"/>
        <c:lblAlgn val="ctr"/>
        <c:lblOffset val="100"/>
        <c:noMultiLvlLbl val="0"/>
      </c:catAx>
      <c:valAx>
        <c:axId val="23019454"/>
        <c:scaling>
          <c:orientation val="minMax"/>
          <c:min val="25000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E00"/>
                </a:solidFill>
                <a:uFillTx/>
                <a:latin typeface="Calibri"/>
              </a:defRPr>
            </a:pPr>
            <a:endParaRPr lang="pt-BR"/>
          </a:p>
        </c:txPr>
        <c:crossAx val="45157041"/>
        <c:crosses val="autoZero"/>
        <c:crossBetween val="between"/>
        <c:majorUnit val="50000"/>
      </c:valAx>
      <c:spPr>
        <a:solidFill>
          <a:srgbClr val="FFFFFF"/>
        </a:solidFill>
        <a:ln w="0">
          <a:noFill/>
        </a:ln>
      </c:spPr>
    </c:plotArea>
    <c:plotVisOnly val="1"/>
    <c:dispBlanksAs val="span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01 Receitas Operacionais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2026'!$C$136:$N$136</c:f>
              <c:numCache>
                <c:formatCode>#,##0;\(#,##0\);\-</c:formatCode>
                <c:ptCount val="12"/>
                <c:pt idx="0">
                  <c:v>279259.02835313906</c:v>
                </c:pt>
                <c:pt idx="1">
                  <c:v>290047.53413629677</c:v>
                </c:pt>
                <c:pt idx="2">
                  <c:v>293824.87120256713</c:v>
                </c:pt>
                <c:pt idx="3">
                  <c:v>261705.41660908179</c:v>
                </c:pt>
                <c:pt idx="4">
                  <c:v>295705.41660908179</c:v>
                </c:pt>
                <c:pt idx="5">
                  <c:v>275752.11252723209</c:v>
                </c:pt>
                <c:pt idx="6">
                  <c:v>275752.11252723209</c:v>
                </c:pt>
                <c:pt idx="7">
                  <c:v>238778.86072121022</c:v>
                </c:pt>
                <c:pt idx="8">
                  <c:v>238778.86072121022</c:v>
                </c:pt>
                <c:pt idx="9">
                  <c:v>238778.86072121022</c:v>
                </c:pt>
                <c:pt idx="10">
                  <c:v>238778.86072121022</c:v>
                </c:pt>
                <c:pt idx="11">
                  <c:v>238778.86072121022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64-BD48-8B45-247859F02451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2026'!$C$137:$N$137</c:f>
              <c:numCache>
                <c:formatCode>"R$ "#,##0.00</c:formatCode>
                <c:ptCount val="12"/>
                <c:pt idx="0">
                  <c:v>282443.93</c:v>
                </c:pt>
                <c:pt idx="1">
                  <c:v>284996.24</c:v>
                </c:pt>
                <c:pt idx="2">
                  <c:v>272796.35000000009</c:v>
                </c:pt>
                <c:pt idx="3">
                  <c:v>266720.63000000006</c:v>
                </c:pt>
                <c:pt idx="4" formatCode="General">
                  <c:v>277334.58</c:v>
                </c:pt>
                <c:pt idx="5" formatCode="General">
                  <c:v>301557.87000000005</c:v>
                </c:pt>
                <c:pt idx="6" formatCode="General">
                  <c:v>280619.08000000007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464-BD48-8B45-247859F02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737917"/>
        <c:axId val="49153019"/>
      </c:lineChart>
      <c:catAx>
        <c:axId val="88737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9153019"/>
        <c:crosses val="autoZero"/>
        <c:auto val="1"/>
        <c:lblAlgn val="ctr"/>
        <c:lblOffset val="100"/>
        <c:noMultiLvlLbl val="0"/>
      </c:catAx>
      <c:valAx>
        <c:axId val="491530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87379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02 Deduções da Receita Bruta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2026'!$C$138:$N$138</c:f>
              <c:numCache>
                <c:formatCode>General</c:formatCode>
                <c:ptCount val="12"/>
                <c:pt idx="0">
                  <c:v>-198990.39569184982</c:v>
                </c:pt>
                <c:pt idx="1">
                  <c:v>-142721.5079576892</c:v>
                </c:pt>
                <c:pt idx="2">
                  <c:v>-144874.59008546331</c:v>
                </c:pt>
                <c:pt idx="3">
                  <c:v>-192974.38698869682</c:v>
                </c:pt>
                <c:pt idx="4">
                  <c:v>-145946.50096717666</c:v>
                </c:pt>
                <c:pt idx="5">
                  <c:v>-134573.11764052231</c:v>
                </c:pt>
                <c:pt idx="6">
                  <c:v>-184562.89438524607</c:v>
                </c:pt>
                <c:pt idx="7">
                  <c:v>-113498.36411108983</c:v>
                </c:pt>
                <c:pt idx="8">
                  <c:v>-113498.36411108983</c:v>
                </c:pt>
                <c:pt idx="9">
                  <c:v>-158696.954149269</c:v>
                </c:pt>
                <c:pt idx="10">
                  <c:v>-113498.36411108983</c:v>
                </c:pt>
                <c:pt idx="11">
                  <c:v>-113498.36411108983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CA-7140-A827-D50786197860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2026'!$C$139:$N$139</c:f>
              <c:numCache>
                <c:formatCode>"R$ "#,##0.00</c:formatCode>
                <c:ptCount val="12"/>
                <c:pt idx="0">
                  <c:v>-198816.65000000002</c:v>
                </c:pt>
                <c:pt idx="1">
                  <c:v>-126321.09</c:v>
                </c:pt>
                <c:pt idx="2">
                  <c:v>-138181.44</c:v>
                </c:pt>
                <c:pt idx="3">
                  <c:v>-196414.43999999997</c:v>
                </c:pt>
                <c:pt idx="4" formatCode="General">
                  <c:v>-128726.11000000002</c:v>
                </c:pt>
                <c:pt idx="5" formatCode="General">
                  <c:v>-128056.72000000002</c:v>
                </c:pt>
                <c:pt idx="6" formatCode="General">
                  <c:v>-195285.63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CA-7140-A827-D50786197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610601"/>
        <c:axId val="76164616"/>
      </c:lineChart>
      <c:catAx>
        <c:axId val="19610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6164616"/>
        <c:crosses val="autoZero"/>
        <c:auto val="1"/>
        <c:lblAlgn val="ctr"/>
        <c:lblOffset val="100"/>
        <c:noMultiLvlLbl val="0"/>
      </c:catAx>
      <c:valAx>
        <c:axId val="761646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96106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03 Custos Operacionais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2026'!$C$140:$N$140</c:f>
              <c:numCache>
                <c:formatCode>#,##0;\(#,##0\);\-</c:formatCode>
                <c:ptCount val="12"/>
                <c:pt idx="0">
                  <c:v>-64693.810000000012</c:v>
                </c:pt>
                <c:pt idx="1">
                  <c:v>-64983.101240116397</c:v>
                </c:pt>
                <c:pt idx="2">
                  <c:v>-65273.68610355792</c:v>
                </c:pt>
                <c:pt idx="3">
                  <c:v>-65565.570375018608</c:v>
                </c:pt>
                <c:pt idx="4">
                  <c:v>-65858.759865059881</c:v>
                </c:pt>
                <c:pt idx="5">
                  <c:v>-66153.260410226256</c:v>
                </c:pt>
                <c:pt idx="6">
                  <c:v>-66449.077873161528</c:v>
                </c:pt>
                <c:pt idx="7">
                  <c:v>-66746.218142725469</c:v>
                </c:pt>
                <c:pt idx="8">
                  <c:v>-67044.687134110995</c:v>
                </c:pt>
                <c:pt idx="9">
                  <c:v>-67344.490788962095</c:v>
                </c:pt>
                <c:pt idx="10">
                  <c:v>-67645.635075491897</c:v>
                </c:pt>
                <c:pt idx="11">
                  <c:v>-67948.125988601663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0B-F942-88B5-CC50D40D2271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2026'!$C$141:$N$141</c:f>
              <c:numCache>
                <c:formatCode>"R$ "#,##0.00</c:formatCode>
                <c:ptCount val="12"/>
                <c:pt idx="0">
                  <c:v>-64960.260000000009</c:v>
                </c:pt>
                <c:pt idx="1">
                  <c:v>-61297.63</c:v>
                </c:pt>
                <c:pt idx="2">
                  <c:v>-67942.220000000016</c:v>
                </c:pt>
                <c:pt idx="3">
                  <c:v>-64575.130000000019</c:v>
                </c:pt>
                <c:pt idx="4" formatCode="General">
                  <c:v>-81372.890000000014</c:v>
                </c:pt>
                <c:pt idx="5" formatCode="General">
                  <c:v>-66612.710000000021</c:v>
                </c:pt>
                <c:pt idx="6" formatCode="General">
                  <c:v>-59682.890000000014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0B-F942-88B5-CC50D40D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760141"/>
        <c:axId val="77334006"/>
      </c:lineChart>
      <c:catAx>
        <c:axId val="52760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7334006"/>
        <c:crosses val="autoZero"/>
        <c:auto val="1"/>
        <c:lblAlgn val="ctr"/>
        <c:lblOffset val="100"/>
        <c:noMultiLvlLbl val="0"/>
      </c:catAx>
      <c:valAx>
        <c:axId val="773340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527601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03T Lucro Bruto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2026'!$C$142:$N$142</c:f>
              <c:numCache>
                <c:formatCode>General</c:formatCode>
                <c:ptCount val="12"/>
                <c:pt idx="0">
                  <c:v>15574.822661289232</c:v>
                </c:pt>
                <c:pt idx="1">
                  <c:v>82342.924938491167</c:v>
                </c:pt>
                <c:pt idx="2">
                  <c:v>83676.595013545899</c:v>
                </c:pt>
                <c:pt idx="3">
                  <c:v>3165.4592453663645</c:v>
                </c:pt>
                <c:pt idx="4">
                  <c:v>83900.155776845248</c:v>
                </c:pt>
                <c:pt idx="5">
                  <c:v>75025.734476483529</c:v>
                </c:pt>
                <c:pt idx="6">
                  <c:v>24740.1402688245</c:v>
                </c:pt>
                <c:pt idx="7">
                  <c:v>58534.278467394921</c:v>
                </c:pt>
                <c:pt idx="8">
                  <c:v>58235.809476009395</c:v>
                </c:pt>
                <c:pt idx="9">
                  <c:v>12737.415782979122</c:v>
                </c:pt>
                <c:pt idx="10">
                  <c:v>57634.861534628493</c:v>
                </c:pt>
                <c:pt idx="11">
                  <c:v>57332.370621518727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45-FF4F-9E05-B6AA5427768E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2026'!$C$143:$N$143</c:f>
              <c:numCache>
                <c:formatCode>"R$ "#,##0.00</c:formatCode>
                <c:ptCount val="12"/>
                <c:pt idx="0">
                  <c:v>18667.019999999993</c:v>
                </c:pt>
                <c:pt idx="1">
                  <c:v>97377.51999999999</c:v>
                </c:pt>
                <c:pt idx="2">
                  <c:v>66672.690000000104</c:v>
                </c:pt>
                <c:pt idx="3">
                  <c:v>5731.0600000000886</c:v>
                </c:pt>
                <c:pt idx="4" formatCode="General">
                  <c:v>67235.579999999958</c:v>
                </c:pt>
                <c:pt idx="5" formatCode="General">
                  <c:v>106888.44000000005</c:v>
                </c:pt>
                <c:pt idx="6" formatCode="General">
                  <c:v>25650.560000000041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45-FF4F-9E05-B6AA54277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274587"/>
        <c:axId val="85834835"/>
      </c:lineChart>
      <c:catAx>
        <c:axId val="76274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5834835"/>
        <c:crosses val="autoZero"/>
        <c:auto val="1"/>
        <c:lblAlgn val="ctr"/>
        <c:lblOffset val="100"/>
        <c:noMultiLvlLbl val="0"/>
      </c:catAx>
      <c:valAx>
        <c:axId val="858348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62745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04 Despesas Operacionais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2026'!$C$144:$N$144</c:f>
              <c:numCache>
                <c:formatCode>#,##0;\(#,##0\);\-</c:formatCode>
                <c:ptCount val="12"/>
                <c:pt idx="0">
                  <c:v>-23355.479999999996</c:v>
                </c:pt>
                <c:pt idx="1">
                  <c:v>-23459.918674623015</c:v>
                </c:pt>
                <c:pt idx="2">
                  <c:v>-23564.824367554244</c:v>
                </c:pt>
                <c:pt idx="3">
                  <c:v>-23670.199167158946</c:v>
                </c:pt>
                <c:pt idx="4">
                  <c:v>-23776.045171140919</c:v>
                </c:pt>
                <c:pt idx="5">
                  <c:v>-23882.364486584276</c:v>
                </c:pt>
                <c:pt idx="6">
                  <c:v>-23989.159229995359</c:v>
                </c:pt>
                <c:pt idx="7">
                  <c:v>-24096.431527344906</c:v>
                </c:pt>
                <c:pt idx="8">
                  <c:v>-24204.183514110329</c:v>
                </c:pt>
                <c:pt idx="9">
                  <c:v>-24312.417335318292</c:v>
                </c:pt>
                <c:pt idx="10">
                  <c:v>-24421.135145587326</c:v>
                </c:pt>
                <c:pt idx="11">
                  <c:v>-24530.339109170811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A2-4F46-AF05-F7081AAF861B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2026'!$C$145:$N$145</c:f>
              <c:numCache>
                <c:formatCode>"R$ "#,##0.00</c:formatCode>
                <c:ptCount val="12"/>
                <c:pt idx="0">
                  <c:v>-23481.499999999996</c:v>
                </c:pt>
                <c:pt idx="1">
                  <c:v>-24172.25</c:v>
                </c:pt>
                <c:pt idx="2">
                  <c:v>-24636.399999999991</c:v>
                </c:pt>
                <c:pt idx="3">
                  <c:v>-21131.769999999997</c:v>
                </c:pt>
                <c:pt idx="4" formatCode="General">
                  <c:v>-20692.519999999997</c:v>
                </c:pt>
                <c:pt idx="5" formatCode="General">
                  <c:v>-20268.560000000005</c:v>
                </c:pt>
                <c:pt idx="6" formatCode="General">
                  <c:v>-30373.030000000002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A2-4F46-AF05-F7081AAF8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568255"/>
        <c:axId val="69627725"/>
      </c:lineChart>
      <c:catAx>
        <c:axId val="985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9627725"/>
        <c:crosses val="autoZero"/>
        <c:auto val="1"/>
        <c:lblAlgn val="ctr"/>
        <c:lblOffset val="100"/>
        <c:noMultiLvlLbl val="0"/>
      </c:catAx>
      <c:valAx>
        <c:axId val="69627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985682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04T Lucro / Prej. Operacional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2026'!$C$146:$N$146</c:f>
              <c:numCache>
                <c:formatCode>General</c:formatCode>
                <c:ptCount val="12"/>
                <c:pt idx="0">
                  <c:v>-7780.6573387107637</c:v>
                </c:pt>
                <c:pt idx="1">
                  <c:v>58883.006263868156</c:v>
                </c:pt>
                <c:pt idx="2">
                  <c:v>60111.770645991652</c:v>
                </c:pt>
                <c:pt idx="3">
                  <c:v>-20504.739921792581</c:v>
                </c:pt>
                <c:pt idx="4">
                  <c:v>60124.110605704329</c:v>
                </c:pt>
                <c:pt idx="5">
                  <c:v>51143.369989899249</c:v>
                </c:pt>
                <c:pt idx="6">
                  <c:v>750.98103882914074</c:v>
                </c:pt>
                <c:pt idx="7">
                  <c:v>34437.846940050018</c:v>
                </c:pt>
                <c:pt idx="8">
                  <c:v>34031.625961899066</c:v>
                </c:pt>
                <c:pt idx="9">
                  <c:v>-11575.00155233917</c:v>
                </c:pt>
                <c:pt idx="10">
                  <c:v>33213.72638904117</c:v>
                </c:pt>
                <c:pt idx="11">
                  <c:v>32802.031512347916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5B-694C-B440-96C00D25970B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2026'!$C$147:$N$147</c:f>
              <c:numCache>
                <c:formatCode>"R$ "#,##0.00</c:formatCode>
                <c:ptCount val="12"/>
                <c:pt idx="0">
                  <c:v>-4814.4800000000032</c:v>
                </c:pt>
                <c:pt idx="1">
                  <c:v>73205.26999999999</c:v>
                </c:pt>
                <c:pt idx="2">
                  <c:v>42036.290000000117</c:v>
                </c:pt>
                <c:pt idx="3">
                  <c:v>-15400.709999999906</c:v>
                </c:pt>
                <c:pt idx="4" formatCode="General">
                  <c:v>46543.059999999961</c:v>
                </c:pt>
                <c:pt idx="5" formatCode="General">
                  <c:v>86619.880000000034</c:v>
                </c:pt>
                <c:pt idx="6" formatCode="General">
                  <c:v>-4722.4699999999611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5B-694C-B440-96C00D259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107924"/>
        <c:axId val="66092476"/>
      </c:lineChart>
      <c:catAx>
        <c:axId val="26107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6092476"/>
        <c:crosses val="autoZero"/>
        <c:auto val="1"/>
        <c:lblAlgn val="ctr"/>
        <c:lblOffset val="100"/>
        <c:noMultiLvlLbl val="0"/>
      </c:catAx>
      <c:valAx>
        <c:axId val="660924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261079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06T Lucro / Prej. Líquido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2026'!$C$148:$N$148</c:f>
              <c:numCache>
                <c:formatCode>General</c:formatCode>
                <c:ptCount val="12"/>
                <c:pt idx="0">
                  <c:v>-8897.6934521233197</c:v>
                </c:pt>
                <c:pt idx="1">
                  <c:v>57722.816127322971</c:v>
                </c:pt>
                <c:pt idx="2">
                  <c:v>58936.471161181384</c:v>
                </c:pt>
                <c:pt idx="3">
                  <c:v>-21551.561588228909</c:v>
                </c:pt>
                <c:pt idx="4">
                  <c:v>58941.288939268001</c:v>
                </c:pt>
                <c:pt idx="5">
                  <c:v>50040.36153979032</c:v>
                </c:pt>
                <c:pt idx="6">
                  <c:v>-352.02741127978766</c:v>
                </c:pt>
                <c:pt idx="7">
                  <c:v>33482.731497165179</c:v>
                </c:pt>
                <c:pt idx="8">
                  <c:v>33076.510519014228</c:v>
                </c:pt>
                <c:pt idx="9">
                  <c:v>-12530.116995224011</c:v>
                </c:pt>
                <c:pt idx="10">
                  <c:v>32258.610946156328</c:v>
                </c:pt>
                <c:pt idx="11">
                  <c:v>31846.916069463074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25-CA4C-BC58-8FB3CD964D17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2026'!$C$149:$N$149</c:f>
              <c:numCache>
                <c:formatCode>"R$ "#,##0.00</c:formatCode>
                <c:ptCount val="12"/>
                <c:pt idx="0">
                  <c:v>-6068.7100000000009</c:v>
                </c:pt>
                <c:pt idx="1">
                  <c:v>72233.959999999992</c:v>
                </c:pt>
                <c:pt idx="2">
                  <c:v>41699.140000000116</c:v>
                </c:pt>
                <c:pt idx="3">
                  <c:v>-16149.219999999905</c:v>
                </c:pt>
                <c:pt idx="4" formatCode="General">
                  <c:v>46819.329999999965</c:v>
                </c:pt>
                <c:pt idx="5" formatCode="General">
                  <c:v>83103.440000000031</c:v>
                </c:pt>
                <c:pt idx="6" formatCode="General">
                  <c:v>-4902.1899999999623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25-CA4C-BC58-8FB3CD964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606206"/>
        <c:axId val="38807877"/>
      </c:lineChart>
      <c:catAx>
        <c:axId val="76606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8807877"/>
        <c:crosses val="autoZero"/>
        <c:auto val="1"/>
        <c:lblAlgn val="ctr"/>
        <c:lblOffset val="100"/>
        <c:noMultiLvlLbl val="0"/>
      </c:catAx>
      <c:valAx>
        <c:axId val="38807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76606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07 Desp. Invest./Empréstimos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2026'!$C$150:$N$150</c:f>
              <c:numCache>
                <c:formatCode>General</c:formatCode>
                <c:ptCount val="12"/>
                <c:pt idx="0">
                  <c:v>-10968.539668533987</c:v>
                </c:pt>
                <c:pt idx="1">
                  <c:v>-11392.283009419401</c:v>
                </c:pt>
                <c:pt idx="2">
                  <c:v>-11540.646597508725</c:v>
                </c:pt>
                <c:pt idx="3">
                  <c:v>-10279.081254687249</c:v>
                </c:pt>
                <c:pt idx="4">
                  <c:v>-11614.509337100269</c:v>
                </c:pt>
                <c:pt idx="5">
                  <c:v>-10830.79749569355</c:v>
                </c:pt>
                <c:pt idx="6">
                  <c:v>-10830.79749569355</c:v>
                </c:pt>
                <c:pt idx="7">
                  <c:v>-9378.5881204026828</c:v>
                </c:pt>
                <c:pt idx="8">
                  <c:v>-9378.5881204026828</c:v>
                </c:pt>
                <c:pt idx="9">
                  <c:v>-9378.5881204026828</c:v>
                </c:pt>
                <c:pt idx="10">
                  <c:v>-9378.5881204026828</c:v>
                </c:pt>
                <c:pt idx="11">
                  <c:v>-9378.5881204026828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9F-D547-8D60-2126A80FFF85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2026'!$C$151:$N$151</c:f>
              <c:numCache>
                <c:formatCode>General</c:formatCode>
                <c:ptCount val="12"/>
                <c:pt idx="0" formatCode="&quot;R$ &quot;#,##0.00">
                  <c:v>-10236.57</c:v>
                </c:pt>
                <c:pt idx="1">
                  <c:v>-10119.25</c:v>
                </c:pt>
                <c:pt idx="2">
                  <c:v>-8739.58</c:v>
                </c:pt>
                <c:pt idx="3">
                  <c:v>-10636.86</c:v>
                </c:pt>
                <c:pt idx="4">
                  <c:v>-9270.0299999999988</c:v>
                </c:pt>
                <c:pt idx="5">
                  <c:v>-9126.119999999999</c:v>
                </c:pt>
                <c:pt idx="6">
                  <c:v>-9386.01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9F-D547-8D60-2126A80FF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867749"/>
        <c:axId val="31397629"/>
      </c:lineChart>
      <c:catAx>
        <c:axId val="628677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1397629"/>
        <c:crosses val="autoZero"/>
        <c:auto val="1"/>
        <c:lblAlgn val="ctr"/>
        <c:lblOffset val="100"/>
        <c:noMultiLvlLbl val="0"/>
      </c:catAx>
      <c:valAx>
        <c:axId val="313976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28677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07T Lucro / Prej. Final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Orçado</c:v>
          </c:tx>
          <c:spPr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2026'!$C$152:$N$152</c:f>
              <c:numCache>
                <c:formatCode>General</c:formatCode>
                <c:ptCount val="12"/>
                <c:pt idx="0">
                  <c:v>-19866.233120657307</c:v>
                </c:pt>
                <c:pt idx="1">
                  <c:v>46330.533117903571</c:v>
                </c:pt>
                <c:pt idx="2">
                  <c:v>47395.824563672657</c:v>
                </c:pt>
                <c:pt idx="3">
                  <c:v>-31830.642842916161</c:v>
                </c:pt>
                <c:pt idx="4">
                  <c:v>47326.779602167735</c:v>
                </c:pt>
                <c:pt idx="5">
                  <c:v>39209.564044096769</c:v>
                </c:pt>
                <c:pt idx="6">
                  <c:v>-11182.824906973337</c:v>
                </c:pt>
                <c:pt idx="7">
                  <c:v>24104.143376762499</c:v>
                </c:pt>
                <c:pt idx="8">
                  <c:v>23697.922398611547</c:v>
                </c:pt>
                <c:pt idx="9">
                  <c:v>-21908.705115626693</c:v>
                </c:pt>
                <c:pt idx="10">
                  <c:v>22880.022825753644</c:v>
                </c:pt>
                <c:pt idx="11">
                  <c:v>22468.327949060389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C4-7547-99B4-B0C9D0D22700}"/>
            </c:ext>
          </c:extLst>
        </c:ser>
        <c:ser>
          <c:idx val="1"/>
          <c:order val="1"/>
          <c:tx>
            <c:v>Realizado</c:v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2026'!$C$153:$N$153</c:f>
              <c:numCache>
                <c:formatCode>"R$ "#,##0.00</c:formatCode>
                <c:ptCount val="12"/>
                <c:pt idx="0">
                  <c:v>-16305.28</c:v>
                </c:pt>
                <c:pt idx="1">
                  <c:v>62114.709999999992</c:v>
                </c:pt>
                <c:pt idx="2">
                  <c:v>32959.560000000121</c:v>
                </c:pt>
                <c:pt idx="3">
                  <c:v>-26786.079999999907</c:v>
                </c:pt>
                <c:pt idx="4" formatCode="General">
                  <c:v>37549.299999999967</c:v>
                </c:pt>
                <c:pt idx="5" formatCode="General">
                  <c:v>73977.320000000036</c:v>
                </c:pt>
                <c:pt idx="6" formatCode="General">
                  <c:v>-14288.199999999964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C4-7547-99B4-B0C9D0D22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223876"/>
        <c:axId val="10141092"/>
      </c:lineChart>
      <c:catAx>
        <c:axId val="11223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0141092"/>
        <c:crosses val="autoZero"/>
        <c:auto val="1"/>
        <c:lblAlgn val="ctr"/>
        <c:lblOffset val="100"/>
        <c:noMultiLvlLbl val="0"/>
      </c:catAx>
      <c:valAx>
        <c:axId val="101410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238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07T Lucro / Prejuízo Final  –  Orçado vs Realizado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Orçado</c:v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2026'!$C$152:$N$152</c:f>
              <c:numCache>
                <c:formatCode>General</c:formatCode>
                <c:ptCount val="12"/>
                <c:pt idx="0">
                  <c:v>-19866.233120657307</c:v>
                </c:pt>
                <c:pt idx="1">
                  <c:v>46330.533117903571</c:v>
                </c:pt>
                <c:pt idx="2">
                  <c:v>47395.824563672657</c:v>
                </c:pt>
                <c:pt idx="3">
                  <c:v>-31830.642842916161</c:v>
                </c:pt>
                <c:pt idx="4">
                  <c:v>47326.779602167735</c:v>
                </c:pt>
                <c:pt idx="5">
                  <c:v>39209.564044096769</c:v>
                </c:pt>
                <c:pt idx="6">
                  <c:v>-11182.824906973337</c:v>
                </c:pt>
                <c:pt idx="7">
                  <c:v>24104.143376762499</c:v>
                </c:pt>
                <c:pt idx="8">
                  <c:v>23697.922398611547</c:v>
                </c:pt>
                <c:pt idx="9">
                  <c:v>-21908.705115626693</c:v>
                </c:pt>
                <c:pt idx="10">
                  <c:v>22880.022825753644</c:v>
                </c:pt>
                <c:pt idx="11">
                  <c:v>22468.327949060389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1-EA47-BECE-429AFFFACB65}"/>
            </c:ext>
          </c:extLst>
        </c:ser>
        <c:ser>
          <c:idx val="1"/>
          <c:order val="1"/>
          <c:tx>
            <c:v>Realizado</c:v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'Orçamento 2026'!$C$135:$N$135</c:f>
              <c:strCache>
                <c:ptCount val="12"/>
                <c:pt idx="0">
                  <c:v>Jan/26</c:v>
                </c:pt>
                <c:pt idx="1">
                  <c:v>Fev/26</c:v>
                </c:pt>
                <c:pt idx="2">
                  <c:v>Mar/26</c:v>
                </c:pt>
                <c:pt idx="3">
                  <c:v>Abr/26</c:v>
                </c:pt>
                <c:pt idx="4">
                  <c:v>Mai/26</c:v>
                </c:pt>
                <c:pt idx="5">
                  <c:v>Jun/26</c:v>
                </c:pt>
                <c:pt idx="6">
                  <c:v>Jul/26</c:v>
                </c:pt>
                <c:pt idx="7">
                  <c:v>Ago/26</c:v>
                </c:pt>
                <c:pt idx="8">
                  <c:v>Set/26</c:v>
                </c:pt>
                <c:pt idx="9">
                  <c:v>Out/26</c:v>
                </c:pt>
                <c:pt idx="10">
                  <c:v>Nov/26</c:v>
                </c:pt>
                <c:pt idx="11">
                  <c:v>Dez/26</c:v>
                </c:pt>
              </c:strCache>
            </c:strRef>
          </c:cat>
          <c:val>
            <c:numRef>
              <c:f>'Orçamento 2026'!$C$153:$N$153</c:f>
              <c:numCache>
                <c:formatCode>"R$ "#,##0.00</c:formatCode>
                <c:ptCount val="12"/>
                <c:pt idx="0">
                  <c:v>-16305.28</c:v>
                </c:pt>
                <c:pt idx="1">
                  <c:v>62114.709999999992</c:v>
                </c:pt>
                <c:pt idx="2">
                  <c:v>32959.560000000121</c:v>
                </c:pt>
                <c:pt idx="3">
                  <c:v>-26786.079999999907</c:v>
                </c:pt>
                <c:pt idx="4" formatCode="General">
                  <c:v>37549.299999999967</c:v>
                </c:pt>
                <c:pt idx="5" formatCode="General">
                  <c:v>73977.320000000036</c:v>
                </c:pt>
                <c:pt idx="6" formatCode="General">
                  <c:v>-14288.199999999964</c:v>
                </c:pt>
                <c:pt idx="7" formatCode="General">
                  <c:v>#N/A</c:v>
                </c:pt>
                <c:pt idx="8" formatCode="General">
                  <c:v>#N/A</c:v>
                </c:pt>
                <c:pt idx="9" formatCode="General">
                  <c:v>#N/A</c:v>
                </c:pt>
                <c:pt idx="10" formatCode="General">
                  <c:v>#N/A</c:v>
                </c:pt>
                <c:pt idx="11" formatCode="General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1-EA47-BECE-429AFFFA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20722"/>
        <c:axId val="99435906"/>
      </c:barChart>
      <c:catAx>
        <c:axId val="8120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99435906"/>
        <c:crosses val="autoZero"/>
        <c:auto val="1"/>
        <c:lblAlgn val="ctr"/>
        <c:lblOffset val="100"/>
        <c:noMultiLvlLbl val="0"/>
      </c:catAx>
      <c:valAx>
        <c:axId val="994359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81207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Receitas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'H. Receita'!$E$3</c:f>
              <c:strCache>
                <c:ptCount val="1"/>
                <c:pt idx="0">
                  <c:v>01 Receitas Operacionais</c:v>
                </c:pt>
              </c:strCache>
            </c:strRef>
          </c:tx>
          <c:spPr>
            <a:solidFill>
              <a:srgbClr val="0F365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'H. Receita'!$D$4:$D$58</c:f>
              <c:numCache>
                <c:formatCode>mmm\-yy</c:formatCode>
                <c:ptCount val="5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</c:numCache>
            </c:numRef>
          </c:cat>
          <c:val>
            <c:numRef>
              <c:f>'H. Receita'!$E$4:$E$58</c:f>
              <c:numCache>
                <c:formatCode>"R$ "#,##0.00</c:formatCode>
                <c:ptCount val="55"/>
                <c:pt idx="0">
                  <c:v>113542.34</c:v>
                </c:pt>
                <c:pt idx="1">
                  <c:v>88704.79</c:v>
                </c:pt>
                <c:pt idx="2">
                  <c:v>101759.95</c:v>
                </c:pt>
                <c:pt idx="3">
                  <c:v>117039.51999999999</c:v>
                </c:pt>
                <c:pt idx="4">
                  <c:v>110435.48000000001</c:v>
                </c:pt>
                <c:pt idx="5">
                  <c:v>111353.54000000001</c:v>
                </c:pt>
                <c:pt idx="6">
                  <c:v>92137.23000000001</c:v>
                </c:pt>
                <c:pt idx="7">
                  <c:v>80269.7</c:v>
                </c:pt>
                <c:pt idx="8">
                  <c:v>86537.23</c:v>
                </c:pt>
                <c:pt idx="9">
                  <c:v>78188.329999999987</c:v>
                </c:pt>
                <c:pt idx="10">
                  <c:v>85108.650000000009</c:v>
                </c:pt>
                <c:pt idx="11">
                  <c:v>109383.27</c:v>
                </c:pt>
                <c:pt idx="12">
                  <c:v>101362.42</c:v>
                </c:pt>
                <c:pt idx="13">
                  <c:v>120155.32</c:v>
                </c:pt>
                <c:pt idx="14">
                  <c:v>131601.09</c:v>
                </c:pt>
                <c:pt idx="15">
                  <c:v>153310.85</c:v>
                </c:pt>
                <c:pt idx="16">
                  <c:v>150438.86000000002</c:v>
                </c:pt>
                <c:pt idx="17">
                  <c:v>123015.81</c:v>
                </c:pt>
                <c:pt idx="18">
                  <c:v>154929.32999999999</c:v>
                </c:pt>
                <c:pt idx="19">
                  <c:v>160989.16999999998</c:v>
                </c:pt>
                <c:pt idx="20">
                  <c:v>152116.4</c:v>
                </c:pt>
                <c:pt idx="21">
                  <c:v>135483.48000000001</c:v>
                </c:pt>
                <c:pt idx="22">
                  <c:v>139047.26</c:v>
                </c:pt>
                <c:pt idx="23">
                  <c:v>140276.35999999999</c:v>
                </c:pt>
                <c:pt idx="24">
                  <c:v>128282.56000000001</c:v>
                </c:pt>
                <c:pt idx="25">
                  <c:v>140864.21999999997</c:v>
                </c:pt>
                <c:pt idx="26">
                  <c:v>153430.67000000001</c:v>
                </c:pt>
                <c:pt idx="27">
                  <c:v>121181.31999999999</c:v>
                </c:pt>
                <c:pt idx="28">
                  <c:v>128301.22</c:v>
                </c:pt>
                <c:pt idx="29">
                  <c:v>212284.81</c:v>
                </c:pt>
                <c:pt idx="30">
                  <c:v>208372.91</c:v>
                </c:pt>
                <c:pt idx="31">
                  <c:v>163398.57</c:v>
                </c:pt>
                <c:pt idx="32">
                  <c:v>185409.45</c:v>
                </c:pt>
                <c:pt idx="33">
                  <c:v>151135.89000000001</c:v>
                </c:pt>
                <c:pt idx="34">
                  <c:v>194161.37999999998</c:v>
                </c:pt>
                <c:pt idx="35">
                  <c:v>189113.44999999995</c:v>
                </c:pt>
                <c:pt idx="36">
                  <c:v>161027.96000000002</c:v>
                </c:pt>
                <c:pt idx="37">
                  <c:v>163795.66999999998</c:v>
                </c:pt>
                <c:pt idx="38">
                  <c:v>176258.62</c:v>
                </c:pt>
                <c:pt idx="39">
                  <c:v>193137.78999999992</c:v>
                </c:pt>
                <c:pt idx="40">
                  <c:v>219760.12</c:v>
                </c:pt>
                <c:pt idx="41">
                  <c:v>203307.65000000002</c:v>
                </c:pt>
                <c:pt idx="42">
                  <c:v>208517.31000000006</c:v>
                </c:pt>
                <c:pt idx="43">
                  <c:v>252663.96000000002</c:v>
                </c:pt>
                <c:pt idx="44">
                  <c:v>257176.78000000003</c:v>
                </c:pt>
                <c:pt idx="45">
                  <c:v>318213.40000000002</c:v>
                </c:pt>
                <c:pt idx="46">
                  <c:v>256763.49999999997</c:v>
                </c:pt>
                <c:pt idx="47">
                  <c:v>293606.69</c:v>
                </c:pt>
                <c:pt idx="48">
                  <c:v>282443.93</c:v>
                </c:pt>
                <c:pt idx="49">
                  <c:v>284996.24</c:v>
                </c:pt>
                <c:pt idx="50">
                  <c:v>272796.35000000009</c:v>
                </c:pt>
                <c:pt idx="51">
                  <c:v>266720.63000000006</c:v>
                </c:pt>
                <c:pt idx="52">
                  <c:v>277334.58</c:v>
                </c:pt>
                <c:pt idx="53">
                  <c:v>301557.87000000005</c:v>
                </c:pt>
                <c:pt idx="54">
                  <c:v>280619.08000000007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9-FA41-9990-4A95BB762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49943"/>
        <c:axId val="58909735"/>
      </c:barChart>
      <c:dateAx>
        <c:axId val="54249943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58909735"/>
        <c:crosses val="autoZero"/>
        <c:auto val="1"/>
        <c:lblOffset val="100"/>
        <c:baseTimeUnit val="months"/>
      </c:dateAx>
      <c:valAx>
        <c:axId val="5890973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542499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Lucro acumulado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'H. Receita'!$I$3</c:f>
              <c:strCache>
                <c:ptCount val="1"/>
                <c:pt idx="0">
                  <c:v>Lucro acumulado</c:v>
                </c:pt>
              </c:strCache>
            </c:strRef>
          </c:tx>
          <c:spPr>
            <a:ln w="28440" cap="rnd">
              <a:solidFill>
                <a:srgbClr val="0F365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'H. Receita'!$D$4:$D$57</c:f>
              <c:numCache>
                <c:formatCode>mmm\-yy</c:formatCode>
                <c:ptCount val="54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</c:numCache>
            </c:numRef>
          </c:cat>
          <c:val>
            <c:numRef>
              <c:f>'H. Receita'!$I$4:$I$58</c:f>
              <c:numCache>
                <c:formatCode>"R$ "#,##0.00</c:formatCode>
                <c:ptCount val="55"/>
                <c:pt idx="0">
                  <c:v>39783.240000000013</c:v>
                </c:pt>
                <c:pt idx="1">
                  <c:v>47053.620000000017</c:v>
                </c:pt>
                <c:pt idx="2">
                  <c:v>51025.550000000025</c:v>
                </c:pt>
                <c:pt idx="3">
                  <c:v>-69685.879999999976</c:v>
                </c:pt>
                <c:pt idx="4">
                  <c:v>-79975.979999999952</c:v>
                </c:pt>
                <c:pt idx="5">
                  <c:v>-77659.239999999947</c:v>
                </c:pt>
                <c:pt idx="6">
                  <c:v>-84603.769999999946</c:v>
                </c:pt>
                <c:pt idx="7">
                  <c:v>-86547.999999999942</c:v>
                </c:pt>
                <c:pt idx="8">
                  <c:v>-14395.329999999929</c:v>
                </c:pt>
                <c:pt idx="9">
                  <c:v>-44246.859999999942</c:v>
                </c:pt>
                <c:pt idx="10">
                  <c:v>-51436.229999999938</c:v>
                </c:pt>
                <c:pt idx="11">
                  <c:v>-12362.769999999931</c:v>
                </c:pt>
                <c:pt idx="12">
                  <c:v>-62697.999999999935</c:v>
                </c:pt>
                <c:pt idx="13">
                  <c:v>-50846.269999999946</c:v>
                </c:pt>
                <c:pt idx="14">
                  <c:v>-25384.029999999948</c:v>
                </c:pt>
                <c:pt idx="15">
                  <c:v>3101.4600000000792</c:v>
                </c:pt>
                <c:pt idx="16">
                  <c:v>12825.280000000083</c:v>
                </c:pt>
                <c:pt idx="17">
                  <c:v>-23519.93999999989</c:v>
                </c:pt>
                <c:pt idx="18">
                  <c:v>-29652.729999999869</c:v>
                </c:pt>
                <c:pt idx="19">
                  <c:v>-9777.639999999843</c:v>
                </c:pt>
                <c:pt idx="20">
                  <c:v>-13096.509999999857</c:v>
                </c:pt>
                <c:pt idx="21">
                  <c:v>-57470.219999999877</c:v>
                </c:pt>
                <c:pt idx="22">
                  <c:v>-47678.18999999985</c:v>
                </c:pt>
                <c:pt idx="23">
                  <c:v>-44717.749999999825</c:v>
                </c:pt>
                <c:pt idx="24">
                  <c:v>-88888.049999999814</c:v>
                </c:pt>
                <c:pt idx="25">
                  <c:v>-77159.289999999848</c:v>
                </c:pt>
                <c:pt idx="26">
                  <c:v>-47582.669999999838</c:v>
                </c:pt>
                <c:pt idx="27">
                  <c:v>-91422.429999999847</c:v>
                </c:pt>
                <c:pt idx="28">
                  <c:v>-137489.62999999986</c:v>
                </c:pt>
                <c:pt idx="29">
                  <c:v>-31171.949999999866</c:v>
                </c:pt>
                <c:pt idx="30">
                  <c:v>-18835.759999999853</c:v>
                </c:pt>
                <c:pt idx="31">
                  <c:v>-18257.259999999835</c:v>
                </c:pt>
                <c:pt idx="32">
                  <c:v>17547.980000000178</c:v>
                </c:pt>
                <c:pt idx="33">
                  <c:v>-17411.129999999794</c:v>
                </c:pt>
                <c:pt idx="34">
                  <c:v>21351.080000000191</c:v>
                </c:pt>
                <c:pt idx="35">
                  <c:v>75499.030000000144</c:v>
                </c:pt>
                <c:pt idx="36">
                  <c:v>30188.730000000127</c:v>
                </c:pt>
                <c:pt idx="37">
                  <c:v>52749.490000000107</c:v>
                </c:pt>
                <c:pt idx="38">
                  <c:v>70516.440000000104</c:v>
                </c:pt>
                <c:pt idx="39">
                  <c:v>43101.740000000063</c:v>
                </c:pt>
                <c:pt idx="40">
                  <c:v>90520.090000000069</c:v>
                </c:pt>
                <c:pt idx="41">
                  <c:v>113068.92000000007</c:v>
                </c:pt>
                <c:pt idx="42">
                  <c:v>80488.200000000128</c:v>
                </c:pt>
                <c:pt idx="43">
                  <c:v>144640.29000000018</c:v>
                </c:pt>
                <c:pt idx="44">
                  <c:v>197841.73000000024</c:v>
                </c:pt>
                <c:pt idx="45">
                  <c:v>236059.48000000027</c:v>
                </c:pt>
                <c:pt idx="46">
                  <c:v>281267.61000000028</c:v>
                </c:pt>
                <c:pt idx="47">
                  <c:v>352071.54000000027</c:v>
                </c:pt>
                <c:pt idx="48">
                  <c:v>335766.26000000024</c:v>
                </c:pt>
                <c:pt idx="49">
                  <c:v>397880.9700000002</c:v>
                </c:pt>
                <c:pt idx="50">
                  <c:v>430840.53000000032</c:v>
                </c:pt>
                <c:pt idx="51">
                  <c:v>404054.45000000042</c:v>
                </c:pt>
                <c:pt idx="52">
                  <c:v>441603.75000000041</c:v>
                </c:pt>
                <c:pt idx="53">
                  <c:v>515581.07000000041</c:v>
                </c:pt>
                <c:pt idx="54">
                  <c:v>501292.87000000046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4-0546-8330-B92AA68C3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259922"/>
        <c:axId val="11775155"/>
      </c:lineChart>
      <c:dateAx>
        <c:axId val="8325992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11775155"/>
        <c:crosses val="autoZero"/>
        <c:auto val="1"/>
        <c:lblOffset val="100"/>
        <c:baseTimeUnit val="months"/>
      </c:dateAx>
      <c:valAx>
        <c:axId val="1177515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832599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C88C4B"/>
                </a:solidFill>
              </a:rPr>
              <a:t>LUCRO TRIMESTRAL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'H. Receita'!$R$3</c:f>
              <c:strCache>
                <c:ptCount val="1"/>
                <c:pt idx="0">
                  <c:v>Positivo</c:v>
                </c:pt>
              </c:strCache>
            </c:strRef>
          </c:tx>
          <c:spPr>
            <a:gradFill>
              <a:gsLst>
                <a:gs pos="82000">
                  <a:srgbClr val="033254"/>
                </a:gs>
                <a:gs pos="100000">
                  <a:schemeClr val="tx2">
                    <a:lumMod val="20000"/>
                    <a:lumOff val="80000"/>
                  </a:schemeClr>
                </a:gs>
              </a:gsLst>
              <a:path path="circle">
                <a:fillToRect l="50000" r="50000" b="100000"/>
              </a:path>
            </a:gradFill>
            <a:ln>
              <a:noFill/>
            </a:ln>
            <a:effectLst/>
          </c:spPr>
          <c:invertIfNegative val="0"/>
          <c:cat>
            <c:strRef>
              <c:f>'H. Receita'!$P$4:$P$61</c:f>
              <c:strCache>
                <c:ptCount val="56"/>
                <c:pt idx="1">
                  <c:v>1T22</c:v>
                </c:pt>
                <c:pt idx="4">
                  <c:v>2T22</c:v>
                </c:pt>
                <c:pt idx="7">
                  <c:v>3T22</c:v>
                </c:pt>
                <c:pt idx="10">
                  <c:v>4T22</c:v>
                </c:pt>
                <c:pt idx="13">
                  <c:v>1T23</c:v>
                </c:pt>
                <c:pt idx="16">
                  <c:v>2T23</c:v>
                </c:pt>
                <c:pt idx="19">
                  <c:v>3T23</c:v>
                </c:pt>
                <c:pt idx="22">
                  <c:v>4T23</c:v>
                </c:pt>
                <c:pt idx="25">
                  <c:v>1T24</c:v>
                </c:pt>
                <c:pt idx="28">
                  <c:v>2T24</c:v>
                </c:pt>
                <c:pt idx="31">
                  <c:v>3T24</c:v>
                </c:pt>
                <c:pt idx="34">
                  <c:v>4T24</c:v>
                </c:pt>
                <c:pt idx="37">
                  <c:v>1T25</c:v>
                </c:pt>
                <c:pt idx="40">
                  <c:v>2T25</c:v>
                </c:pt>
                <c:pt idx="43">
                  <c:v>3T25</c:v>
                </c:pt>
                <c:pt idx="46">
                  <c:v>4T25</c:v>
                </c:pt>
                <c:pt idx="49">
                  <c:v>1T26</c:v>
                </c:pt>
                <c:pt idx="52">
                  <c:v>2T26</c:v>
                </c:pt>
                <c:pt idx="55">
                  <c:v>3T26</c:v>
                </c:pt>
              </c:strCache>
            </c:strRef>
          </c:cat>
          <c:val>
            <c:numRef>
              <c:f>'H. Receita'!$R$4:$R$61</c:f>
              <c:numCache>
                <c:formatCode>"R$ "#,##0.00</c:formatCode>
                <c:ptCount val="58"/>
                <c:pt idx="0">
                  <c:v>#N/A</c:v>
                </c:pt>
                <c:pt idx="1">
                  <c:v>51025.550000000025</c:v>
                </c:pt>
                <c:pt idx="4">
                  <c:v>#N/A</c:v>
                </c:pt>
                <c:pt idx="7">
                  <c:v>63263.910000000018</c:v>
                </c:pt>
                <c:pt idx="10">
                  <c:v>2032.5599999999977</c:v>
                </c:pt>
                <c:pt idx="13">
                  <c:v>#N/A</c:v>
                </c:pt>
                <c:pt idx="16">
                  <c:v>1864.0900000000547</c:v>
                </c:pt>
                <c:pt idx="19">
                  <c:v>10423.430000000033</c:v>
                </c:pt>
                <c:pt idx="22">
                  <c:v>#N/A</c:v>
                </c:pt>
                <c:pt idx="25">
                  <c:v>#N/A</c:v>
                </c:pt>
                <c:pt idx="28">
                  <c:v>16410.719999999972</c:v>
                </c:pt>
                <c:pt idx="31">
                  <c:v>48719.930000000044</c:v>
                </c:pt>
                <c:pt idx="34">
                  <c:v>57951.049999999974</c:v>
                </c:pt>
                <c:pt idx="37">
                  <c:v>#N/A</c:v>
                </c:pt>
                <c:pt idx="40">
                  <c:v>42552.479999999967</c:v>
                </c:pt>
                <c:pt idx="43">
                  <c:v>84772.810000000172</c:v>
                </c:pt>
                <c:pt idx="46">
                  <c:v>154229.81000000003</c:v>
                </c:pt>
                <c:pt idx="49">
                  <c:v>78768.990000000107</c:v>
                </c:pt>
                <c:pt idx="52">
                  <c:v>84740.540000000095</c:v>
                </c:pt>
                <c:pt idx="5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B-9945-A0D5-DCA083435AA5}"/>
            </c:ext>
          </c:extLst>
        </c:ser>
        <c:ser>
          <c:idx val="1"/>
          <c:order val="1"/>
          <c:tx>
            <c:strRef>
              <c:f>'H. Receita'!$S$3</c:f>
              <c:strCache>
                <c:ptCount val="1"/>
                <c:pt idx="0">
                  <c:v>Negativo</c:v>
                </c:pt>
              </c:strCache>
            </c:strRef>
          </c:tx>
          <c:spPr>
            <a:gradFill>
              <a:gsLst>
                <a:gs pos="42000">
                  <a:srgbClr val="C88C4B"/>
                </a:gs>
                <a:gs pos="8000">
                  <a:schemeClr val="accent6">
                    <a:lumMod val="40000"/>
                    <a:lumOff val="60000"/>
                  </a:schemeClr>
                </a:gs>
              </a:gsLst>
              <a:path path="circle">
                <a:fillToRect l="50000" r="50000" b="100000"/>
              </a:path>
            </a:gradFill>
            <a:ln>
              <a:noFill/>
            </a:ln>
            <a:effectLst/>
          </c:spPr>
          <c:invertIfNegative val="0"/>
          <c:cat>
            <c:strRef>
              <c:f>'H. Receita'!$P$4:$P$61</c:f>
              <c:strCache>
                <c:ptCount val="56"/>
                <c:pt idx="1">
                  <c:v>1T22</c:v>
                </c:pt>
                <c:pt idx="4">
                  <c:v>2T22</c:v>
                </c:pt>
                <c:pt idx="7">
                  <c:v>3T22</c:v>
                </c:pt>
                <c:pt idx="10">
                  <c:v>4T22</c:v>
                </c:pt>
                <c:pt idx="13">
                  <c:v>1T23</c:v>
                </c:pt>
                <c:pt idx="16">
                  <c:v>2T23</c:v>
                </c:pt>
                <c:pt idx="19">
                  <c:v>3T23</c:v>
                </c:pt>
                <c:pt idx="22">
                  <c:v>4T23</c:v>
                </c:pt>
                <c:pt idx="25">
                  <c:v>1T24</c:v>
                </c:pt>
                <c:pt idx="28">
                  <c:v>2T24</c:v>
                </c:pt>
                <c:pt idx="31">
                  <c:v>3T24</c:v>
                </c:pt>
                <c:pt idx="34">
                  <c:v>4T24</c:v>
                </c:pt>
                <c:pt idx="37">
                  <c:v>1T25</c:v>
                </c:pt>
                <c:pt idx="40">
                  <c:v>2T25</c:v>
                </c:pt>
                <c:pt idx="43">
                  <c:v>3T25</c:v>
                </c:pt>
                <c:pt idx="46">
                  <c:v>4T25</c:v>
                </c:pt>
                <c:pt idx="49">
                  <c:v>1T26</c:v>
                </c:pt>
                <c:pt idx="52">
                  <c:v>2T26</c:v>
                </c:pt>
                <c:pt idx="55">
                  <c:v>3T26</c:v>
                </c:pt>
              </c:strCache>
            </c:strRef>
          </c:cat>
          <c:val>
            <c:numRef>
              <c:f>'H. Receita'!$S$4:$S$61</c:f>
              <c:numCache>
                <c:formatCode>"R$ "#,##0.00</c:formatCode>
                <c:ptCount val="58"/>
                <c:pt idx="0">
                  <c:v>#N/A</c:v>
                </c:pt>
                <c:pt idx="1">
                  <c:v>#N/A</c:v>
                </c:pt>
                <c:pt idx="4">
                  <c:v>-128684.78999999996</c:v>
                </c:pt>
                <c:pt idx="7">
                  <c:v>#N/A</c:v>
                </c:pt>
                <c:pt idx="10">
                  <c:v>#N/A</c:v>
                </c:pt>
                <c:pt idx="13">
                  <c:v>-13021.260000000017</c:v>
                </c:pt>
                <c:pt idx="16">
                  <c:v>#N/A</c:v>
                </c:pt>
                <c:pt idx="19">
                  <c:v>#N/A</c:v>
                </c:pt>
                <c:pt idx="22">
                  <c:v>-31621.239999999965</c:v>
                </c:pt>
                <c:pt idx="25">
                  <c:v>-2864.9200000000164</c:v>
                </c:pt>
                <c:pt idx="28">
                  <c:v>#N/A</c:v>
                </c:pt>
                <c:pt idx="31">
                  <c:v>#N/A</c:v>
                </c:pt>
                <c:pt idx="34">
                  <c:v>#N/A</c:v>
                </c:pt>
                <c:pt idx="37">
                  <c:v>-4982.5900000000365</c:v>
                </c:pt>
                <c:pt idx="40">
                  <c:v>#N/A</c:v>
                </c:pt>
                <c:pt idx="43">
                  <c:v>#N/A</c:v>
                </c:pt>
                <c:pt idx="46">
                  <c:v>#N/A</c:v>
                </c:pt>
                <c:pt idx="49">
                  <c:v>#N/A</c:v>
                </c:pt>
                <c:pt idx="52">
                  <c:v>#N/A</c:v>
                </c:pt>
                <c:pt idx="55">
                  <c:v>-14288.199999999964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B-9945-A0D5-DCA08343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6468927"/>
        <c:axId val="566473855"/>
      </c:barChart>
      <c:catAx>
        <c:axId val="56646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6473855"/>
        <c:crosses val="autoZero"/>
        <c:auto val="0"/>
        <c:lblAlgn val="ctr"/>
        <c:lblOffset val="100"/>
        <c:tickLblSkip val="1"/>
        <c:noMultiLvlLbl val="0"/>
      </c:catAx>
      <c:valAx>
        <c:axId val="5664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9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88C4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6468927"/>
        <c:crossesAt val="1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rgbClr val="03325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C88C4B"/>
                </a:solidFill>
              </a:rPr>
              <a:t>LUCRO FINAL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'H. Receita'!$M$3</c:f>
              <c:strCache>
                <c:ptCount val="1"/>
                <c:pt idx="0">
                  <c:v>Positivo</c:v>
                </c:pt>
              </c:strCache>
            </c:strRef>
          </c:tx>
          <c:spPr>
            <a:solidFill>
              <a:srgbClr val="033254"/>
            </a:solidFill>
            <a:ln>
              <a:noFill/>
            </a:ln>
            <a:effectLst/>
          </c:spPr>
          <c:invertIfNegative val="0"/>
          <c:cat>
            <c:numRef>
              <c:f>'H. Receita'!$L$5:$L$57</c:f>
              <c:numCache>
                <c:formatCode>mmm\-yy</c:formatCode>
                <c:ptCount val="53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  <c:pt idx="24">
                  <c:v>45323</c:v>
                </c:pt>
                <c:pt idx="25">
                  <c:v>45352</c:v>
                </c:pt>
                <c:pt idx="26">
                  <c:v>45383</c:v>
                </c:pt>
                <c:pt idx="27">
                  <c:v>45413</c:v>
                </c:pt>
                <c:pt idx="28">
                  <c:v>45444</c:v>
                </c:pt>
                <c:pt idx="29">
                  <c:v>45474</c:v>
                </c:pt>
                <c:pt idx="30">
                  <c:v>45505</c:v>
                </c:pt>
                <c:pt idx="31">
                  <c:v>45536</c:v>
                </c:pt>
                <c:pt idx="32">
                  <c:v>45566</c:v>
                </c:pt>
                <c:pt idx="33">
                  <c:v>45597</c:v>
                </c:pt>
                <c:pt idx="34">
                  <c:v>45627</c:v>
                </c:pt>
                <c:pt idx="35">
                  <c:v>45658</c:v>
                </c:pt>
                <c:pt idx="36">
                  <c:v>45689</c:v>
                </c:pt>
                <c:pt idx="37">
                  <c:v>45717</c:v>
                </c:pt>
                <c:pt idx="38">
                  <c:v>45748</c:v>
                </c:pt>
                <c:pt idx="39">
                  <c:v>45778</c:v>
                </c:pt>
                <c:pt idx="40">
                  <c:v>45809</c:v>
                </c:pt>
                <c:pt idx="41">
                  <c:v>45839</c:v>
                </c:pt>
                <c:pt idx="42">
                  <c:v>45870</c:v>
                </c:pt>
                <c:pt idx="43">
                  <c:v>45901</c:v>
                </c:pt>
                <c:pt idx="44">
                  <c:v>45931</c:v>
                </c:pt>
                <c:pt idx="45">
                  <c:v>45962</c:v>
                </c:pt>
                <c:pt idx="46">
                  <c:v>45992</c:v>
                </c:pt>
                <c:pt idx="47">
                  <c:v>46023</c:v>
                </c:pt>
                <c:pt idx="48">
                  <c:v>46054</c:v>
                </c:pt>
                <c:pt idx="49">
                  <c:v>46082</c:v>
                </c:pt>
                <c:pt idx="50">
                  <c:v>46113</c:v>
                </c:pt>
                <c:pt idx="51">
                  <c:v>46143</c:v>
                </c:pt>
                <c:pt idx="52">
                  <c:v>46174</c:v>
                </c:pt>
              </c:numCache>
            </c:numRef>
          </c:cat>
          <c:val>
            <c:numRef>
              <c:f>'H. Receita'!$M$4:$M$57</c:f>
              <c:numCache>
                <c:formatCode>"R$ "#,##0.00</c:formatCode>
                <c:ptCount val="54"/>
                <c:pt idx="0">
                  <c:v>39783.240000000013</c:v>
                </c:pt>
                <c:pt idx="1">
                  <c:v>7270.3800000000047</c:v>
                </c:pt>
                <c:pt idx="2">
                  <c:v>3971.9300000000048</c:v>
                </c:pt>
                <c:pt idx="3">
                  <c:v>#N/A</c:v>
                </c:pt>
                <c:pt idx="4">
                  <c:v>#N/A</c:v>
                </c:pt>
                <c:pt idx="5">
                  <c:v>2316.7400000000034</c:v>
                </c:pt>
                <c:pt idx="6">
                  <c:v>#N/A</c:v>
                </c:pt>
                <c:pt idx="7">
                  <c:v>#N/A</c:v>
                </c:pt>
                <c:pt idx="8">
                  <c:v>72152.670000000013</c:v>
                </c:pt>
                <c:pt idx="9">
                  <c:v>#N/A</c:v>
                </c:pt>
                <c:pt idx="10">
                  <c:v>#N/A</c:v>
                </c:pt>
                <c:pt idx="11">
                  <c:v>39073.460000000006</c:v>
                </c:pt>
                <c:pt idx="12">
                  <c:v>#N/A</c:v>
                </c:pt>
                <c:pt idx="13">
                  <c:v>11851.729999999992</c:v>
                </c:pt>
                <c:pt idx="14">
                  <c:v>25462.239999999998</c:v>
                </c:pt>
                <c:pt idx="15">
                  <c:v>28485.490000000027</c:v>
                </c:pt>
                <c:pt idx="16">
                  <c:v>9723.8200000000033</c:v>
                </c:pt>
                <c:pt idx="17">
                  <c:v>#N/A</c:v>
                </c:pt>
                <c:pt idx="18">
                  <c:v>#N/A</c:v>
                </c:pt>
                <c:pt idx="19">
                  <c:v>19875.090000000026</c:v>
                </c:pt>
                <c:pt idx="20">
                  <c:v>#N/A</c:v>
                </c:pt>
                <c:pt idx="21">
                  <c:v>#N/A</c:v>
                </c:pt>
                <c:pt idx="22">
                  <c:v>9792.0300000000279</c:v>
                </c:pt>
                <c:pt idx="23">
                  <c:v>2960.4400000000278</c:v>
                </c:pt>
                <c:pt idx="24">
                  <c:v>#N/A</c:v>
                </c:pt>
                <c:pt idx="25">
                  <c:v>11728.759999999966</c:v>
                </c:pt>
                <c:pt idx="26">
                  <c:v>29576.620000000006</c:v>
                </c:pt>
                <c:pt idx="27">
                  <c:v>#N/A</c:v>
                </c:pt>
                <c:pt idx="28">
                  <c:v>#N/A</c:v>
                </c:pt>
                <c:pt idx="29">
                  <c:v>106317.68</c:v>
                </c:pt>
                <c:pt idx="30">
                  <c:v>12336.190000000013</c:v>
                </c:pt>
                <c:pt idx="31">
                  <c:v>578.50000000001637</c:v>
                </c:pt>
                <c:pt idx="32">
                  <c:v>35805.240000000013</c:v>
                </c:pt>
                <c:pt idx="33">
                  <c:v>#N/A</c:v>
                </c:pt>
                <c:pt idx="34">
                  <c:v>38762.209999999985</c:v>
                </c:pt>
                <c:pt idx="35">
                  <c:v>54147.949999999961</c:v>
                </c:pt>
                <c:pt idx="36">
                  <c:v>#N/A</c:v>
                </c:pt>
                <c:pt idx="37">
                  <c:v>22560.75999999998</c:v>
                </c:pt>
                <c:pt idx="38">
                  <c:v>17766.95</c:v>
                </c:pt>
                <c:pt idx="39">
                  <c:v>#N/A</c:v>
                </c:pt>
                <c:pt idx="40">
                  <c:v>47418.350000000006</c:v>
                </c:pt>
                <c:pt idx="41">
                  <c:v>22548.830000000005</c:v>
                </c:pt>
                <c:pt idx="42">
                  <c:v>#N/A</c:v>
                </c:pt>
                <c:pt idx="43">
                  <c:v>64152.090000000047</c:v>
                </c:pt>
                <c:pt idx="44">
                  <c:v>53201.440000000061</c:v>
                </c:pt>
                <c:pt idx="45">
                  <c:v>38217.750000000036</c:v>
                </c:pt>
                <c:pt idx="46">
                  <c:v>45208.13</c:v>
                </c:pt>
                <c:pt idx="47">
                  <c:v>70803.929999999993</c:v>
                </c:pt>
                <c:pt idx="48">
                  <c:v>#N/A</c:v>
                </c:pt>
                <c:pt idx="49">
                  <c:v>62114.709999999992</c:v>
                </c:pt>
                <c:pt idx="50">
                  <c:v>32959.560000000121</c:v>
                </c:pt>
                <c:pt idx="51">
                  <c:v>#N/A</c:v>
                </c:pt>
                <c:pt idx="52">
                  <c:v>37549.299999999967</c:v>
                </c:pt>
                <c:pt idx="53">
                  <c:v>73977.320000000036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8-D244-B716-A4E0AE9529D3}"/>
            </c:ext>
          </c:extLst>
        </c:ser>
        <c:ser>
          <c:idx val="1"/>
          <c:order val="1"/>
          <c:tx>
            <c:strRef>
              <c:f>'H. Receita'!$N$3</c:f>
              <c:strCache>
                <c:ptCount val="1"/>
                <c:pt idx="0">
                  <c:v>Negativo</c:v>
                </c:pt>
              </c:strCache>
            </c:strRef>
          </c:tx>
          <c:spPr>
            <a:solidFill>
              <a:srgbClr val="C88C4B"/>
            </a:solidFill>
            <a:ln>
              <a:noFill/>
            </a:ln>
            <a:effectLst/>
          </c:spPr>
          <c:invertIfNegative val="0"/>
          <c:cat>
            <c:numRef>
              <c:f>'H. Receita'!$L$5:$L$57</c:f>
              <c:numCache>
                <c:formatCode>mmm\-yy</c:formatCode>
                <c:ptCount val="53"/>
                <c:pt idx="0">
                  <c:v>44593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44713</c:v>
                </c:pt>
                <c:pt idx="5">
                  <c:v>44743</c:v>
                </c:pt>
                <c:pt idx="6">
                  <c:v>44774</c:v>
                </c:pt>
                <c:pt idx="7">
                  <c:v>44805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  <c:pt idx="11">
                  <c:v>44927</c:v>
                </c:pt>
                <c:pt idx="12">
                  <c:v>44958</c:v>
                </c:pt>
                <c:pt idx="13">
                  <c:v>44986</c:v>
                </c:pt>
                <c:pt idx="14">
                  <c:v>45017</c:v>
                </c:pt>
                <c:pt idx="15">
                  <c:v>45047</c:v>
                </c:pt>
                <c:pt idx="16">
                  <c:v>45078</c:v>
                </c:pt>
                <c:pt idx="17">
                  <c:v>45108</c:v>
                </c:pt>
                <c:pt idx="18">
                  <c:v>45139</c:v>
                </c:pt>
                <c:pt idx="19">
                  <c:v>45170</c:v>
                </c:pt>
                <c:pt idx="20">
                  <c:v>45200</c:v>
                </c:pt>
                <c:pt idx="21">
                  <c:v>45231</c:v>
                </c:pt>
                <c:pt idx="22">
                  <c:v>45261</c:v>
                </c:pt>
                <c:pt idx="23">
                  <c:v>45292</c:v>
                </c:pt>
                <c:pt idx="24">
                  <c:v>45323</c:v>
                </c:pt>
                <c:pt idx="25">
                  <c:v>45352</c:v>
                </c:pt>
                <c:pt idx="26">
                  <c:v>45383</c:v>
                </c:pt>
                <c:pt idx="27">
                  <c:v>45413</c:v>
                </c:pt>
                <c:pt idx="28">
                  <c:v>45444</c:v>
                </c:pt>
                <c:pt idx="29">
                  <c:v>45474</c:v>
                </c:pt>
                <c:pt idx="30">
                  <c:v>45505</c:v>
                </c:pt>
                <c:pt idx="31">
                  <c:v>45536</c:v>
                </c:pt>
                <c:pt idx="32">
                  <c:v>45566</c:v>
                </c:pt>
                <c:pt idx="33">
                  <c:v>45597</c:v>
                </c:pt>
                <c:pt idx="34">
                  <c:v>45627</c:v>
                </c:pt>
                <c:pt idx="35">
                  <c:v>45658</c:v>
                </c:pt>
                <c:pt idx="36">
                  <c:v>45689</c:v>
                </c:pt>
                <c:pt idx="37">
                  <c:v>45717</c:v>
                </c:pt>
                <c:pt idx="38">
                  <c:v>45748</c:v>
                </c:pt>
                <c:pt idx="39">
                  <c:v>45778</c:v>
                </c:pt>
                <c:pt idx="40">
                  <c:v>45809</c:v>
                </c:pt>
                <c:pt idx="41">
                  <c:v>45839</c:v>
                </c:pt>
                <c:pt idx="42">
                  <c:v>45870</c:v>
                </c:pt>
                <c:pt idx="43">
                  <c:v>45901</c:v>
                </c:pt>
                <c:pt idx="44">
                  <c:v>45931</c:v>
                </c:pt>
                <c:pt idx="45">
                  <c:v>45962</c:v>
                </c:pt>
                <c:pt idx="46">
                  <c:v>45992</c:v>
                </c:pt>
                <c:pt idx="47">
                  <c:v>46023</c:v>
                </c:pt>
                <c:pt idx="48">
                  <c:v>46054</c:v>
                </c:pt>
                <c:pt idx="49">
                  <c:v>46082</c:v>
                </c:pt>
                <c:pt idx="50">
                  <c:v>46113</c:v>
                </c:pt>
                <c:pt idx="51">
                  <c:v>46143</c:v>
                </c:pt>
                <c:pt idx="52">
                  <c:v>46174</c:v>
                </c:pt>
              </c:numCache>
            </c:numRef>
          </c:cat>
          <c:val>
            <c:numRef>
              <c:f>'H. Receita'!$N$4:$N$56</c:f>
              <c:numCache>
                <c:formatCode>"R$ "#,##0.00</c:formatCode>
                <c:ptCount val="5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-120711.43</c:v>
                </c:pt>
                <c:pt idx="4">
                  <c:v>-10290.099999999984</c:v>
                </c:pt>
                <c:pt idx="5">
                  <c:v>#N/A</c:v>
                </c:pt>
                <c:pt idx="6">
                  <c:v>-6944.5299999999934</c:v>
                </c:pt>
                <c:pt idx="7">
                  <c:v>-1944.2300000000014</c:v>
                </c:pt>
                <c:pt idx="8">
                  <c:v>#N/A</c:v>
                </c:pt>
                <c:pt idx="9">
                  <c:v>-29851.530000000013</c:v>
                </c:pt>
                <c:pt idx="10">
                  <c:v>-7189.3699999999917</c:v>
                </c:pt>
                <c:pt idx="11">
                  <c:v>#N/A</c:v>
                </c:pt>
                <c:pt idx="12">
                  <c:v>-50335.23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-36345.219999999972</c:v>
                </c:pt>
                <c:pt idx="18">
                  <c:v>-6132.7899999999781</c:v>
                </c:pt>
                <c:pt idx="19">
                  <c:v>#N/A</c:v>
                </c:pt>
                <c:pt idx="20">
                  <c:v>-3318.8700000000126</c:v>
                </c:pt>
                <c:pt idx="21">
                  <c:v>-44373.710000000021</c:v>
                </c:pt>
                <c:pt idx="22">
                  <c:v>#N/A</c:v>
                </c:pt>
                <c:pt idx="23">
                  <c:v>#N/A</c:v>
                </c:pt>
                <c:pt idx="24">
                  <c:v>-44170.299999999988</c:v>
                </c:pt>
                <c:pt idx="25">
                  <c:v>#N/A</c:v>
                </c:pt>
                <c:pt idx="26">
                  <c:v>#N/A</c:v>
                </c:pt>
                <c:pt idx="27">
                  <c:v>-43839.760000000009</c:v>
                </c:pt>
                <c:pt idx="28">
                  <c:v>-46067.200000000004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-34959.109999999971</c:v>
                </c:pt>
                <c:pt idx="34">
                  <c:v>#N/A</c:v>
                </c:pt>
                <c:pt idx="35">
                  <c:v>#N/A</c:v>
                </c:pt>
                <c:pt idx="36">
                  <c:v>-45310.300000000017</c:v>
                </c:pt>
                <c:pt idx="37">
                  <c:v>#N/A</c:v>
                </c:pt>
                <c:pt idx="38">
                  <c:v>#N/A</c:v>
                </c:pt>
                <c:pt idx="39">
                  <c:v>-27414.700000000044</c:v>
                </c:pt>
                <c:pt idx="40">
                  <c:v>#N/A</c:v>
                </c:pt>
                <c:pt idx="41">
                  <c:v>#N/A</c:v>
                </c:pt>
                <c:pt idx="42">
                  <c:v>-32580.719999999943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-16305.28</c:v>
                </c:pt>
                <c:pt idx="49">
                  <c:v>#N/A</c:v>
                </c:pt>
                <c:pt idx="50">
                  <c:v>#N/A</c:v>
                </c:pt>
                <c:pt idx="51">
                  <c:v>-26786.079999999907</c:v>
                </c:pt>
                <c:pt idx="5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8-D244-B716-A4E0AE952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566468927"/>
        <c:axId val="566473855"/>
      </c:barChart>
      <c:dateAx>
        <c:axId val="5664689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6473855"/>
        <c:crosses val="autoZero"/>
        <c:auto val="1"/>
        <c:lblOffset val="100"/>
        <c:baseTimeUnit val="months"/>
      </c:dateAx>
      <c:valAx>
        <c:axId val="5664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22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88C4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64689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33254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Caixa x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'H. Receita'!$I$3</c:f>
              <c:strCache>
                <c:ptCount val="1"/>
                <c:pt idx="0">
                  <c:v>Lucro acumulado</c:v>
                </c:pt>
              </c:strCache>
            </c:strRef>
          </c:tx>
          <c:spPr>
            <a:ln w="28575" cap="rnd">
              <a:solidFill>
                <a:srgbClr val="033254"/>
              </a:solidFill>
              <a:round/>
            </a:ln>
            <a:effectLst/>
          </c:spPr>
          <c:marker>
            <c:symbol val="none"/>
          </c:marker>
          <c:cat>
            <c:numRef>
              <c:f>'H. Receita'!$D$40:$D$58</c:f>
              <c:numCache>
                <c:formatCode>mmm\-yy</c:formatCode>
                <c:ptCount val="1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</c:numCache>
            </c:numRef>
          </c:cat>
          <c:val>
            <c:numRef>
              <c:f>'H. Receita'!$I$40:$I$58</c:f>
              <c:numCache>
                <c:formatCode>"R$ "#,##0.00</c:formatCode>
                <c:ptCount val="19"/>
                <c:pt idx="0">
                  <c:v>30188.730000000127</c:v>
                </c:pt>
                <c:pt idx="1">
                  <c:v>52749.490000000107</c:v>
                </c:pt>
                <c:pt idx="2">
                  <c:v>70516.440000000104</c:v>
                </c:pt>
                <c:pt idx="3">
                  <c:v>43101.740000000063</c:v>
                </c:pt>
                <c:pt idx="4">
                  <c:v>90520.090000000069</c:v>
                </c:pt>
                <c:pt idx="5">
                  <c:v>113068.92000000007</c:v>
                </c:pt>
                <c:pt idx="6">
                  <c:v>80488.200000000128</c:v>
                </c:pt>
                <c:pt idx="7">
                  <c:v>144640.29000000018</c:v>
                </c:pt>
                <c:pt idx="8">
                  <c:v>197841.73000000024</c:v>
                </c:pt>
                <c:pt idx="9">
                  <c:v>236059.48000000027</c:v>
                </c:pt>
                <c:pt idx="10">
                  <c:v>281267.61000000028</c:v>
                </c:pt>
                <c:pt idx="11">
                  <c:v>352071.54000000027</c:v>
                </c:pt>
                <c:pt idx="12">
                  <c:v>335766.26000000024</c:v>
                </c:pt>
                <c:pt idx="13">
                  <c:v>397880.9700000002</c:v>
                </c:pt>
                <c:pt idx="14">
                  <c:v>430840.53000000032</c:v>
                </c:pt>
                <c:pt idx="15">
                  <c:v>404054.45000000042</c:v>
                </c:pt>
                <c:pt idx="16">
                  <c:v>441603.75000000041</c:v>
                </c:pt>
                <c:pt idx="17">
                  <c:v>515581.07000000041</c:v>
                </c:pt>
                <c:pt idx="18">
                  <c:v>501292.87000000046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1-164E-B4C5-C3BF25235B06}"/>
            </c:ext>
          </c:extLst>
        </c:ser>
        <c:ser>
          <c:idx val="1"/>
          <c:order val="1"/>
          <c:tx>
            <c:strRef>
              <c:f>'H. Receita'!$J$3</c:f>
              <c:strCache>
                <c:ptCount val="1"/>
                <c:pt idx="0">
                  <c:v>Caixa</c:v>
                </c:pt>
              </c:strCache>
            </c:strRef>
          </c:tx>
          <c:spPr>
            <a:ln w="28575" cap="rnd">
              <a:solidFill>
                <a:srgbClr val="C88C4B"/>
              </a:solidFill>
              <a:round/>
            </a:ln>
            <a:effectLst/>
          </c:spPr>
          <c:marker>
            <c:symbol val="none"/>
          </c:marker>
          <c:cat>
            <c:numRef>
              <c:f>'H. Receita'!$D$40:$D$58</c:f>
              <c:numCache>
                <c:formatCode>mmm\-yy</c:formatCode>
                <c:ptCount val="1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</c:numCache>
            </c:numRef>
          </c:cat>
          <c:val>
            <c:numRef>
              <c:f>'H. Receita'!$J$40:$J$58</c:f>
              <c:numCache>
                <c:formatCode>"R$ "#,##0.00</c:formatCode>
                <c:ptCount val="19"/>
                <c:pt idx="0">
                  <c:v>869353.15</c:v>
                </c:pt>
                <c:pt idx="1">
                  <c:v>872518.89999999991</c:v>
                </c:pt>
                <c:pt idx="2">
                  <c:v>309261.36</c:v>
                </c:pt>
                <c:pt idx="3">
                  <c:v>249098.43</c:v>
                </c:pt>
                <c:pt idx="4">
                  <c:v>289377.28000000003</c:v>
                </c:pt>
                <c:pt idx="5">
                  <c:v>285593.61</c:v>
                </c:pt>
                <c:pt idx="6">
                  <c:v>255744.58000000002</c:v>
                </c:pt>
                <c:pt idx="7">
                  <c:v>315482.46000000002</c:v>
                </c:pt>
                <c:pt idx="8">
                  <c:v>336928.89</c:v>
                </c:pt>
                <c:pt idx="9">
                  <c:v>382169.31</c:v>
                </c:pt>
                <c:pt idx="10">
                  <c:v>430109.01</c:v>
                </c:pt>
                <c:pt idx="11">
                  <c:v>503909.50999999995</c:v>
                </c:pt>
                <c:pt idx="12">
                  <c:v>328679.42</c:v>
                </c:pt>
                <c:pt idx="13">
                  <c:v>326651.90999999997</c:v>
                </c:pt>
                <c:pt idx="14">
                  <c:v>359161.59</c:v>
                </c:pt>
                <c:pt idx="15">
                  <c:v>358806.95999999996</c:v>
                </c:pt>
                <c:pt idx="16">
                  <c:v>423235.4800000001</c:v>
                </c:pt>
                <c:pt idx="17">
                  <c:v>430815.65</c:v>
                </c:pt>
                <c:pt idx="18">
                  <c:v>358819.06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1-164E-B4C5-C3BF25235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740479"/>
        <c:axId val="559728383"/>
      </c:lineChart>
      <c:dateAx>
        <c:axId val="559740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88C4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728383"/>
        <c:crosses val="autoZero"/>
        <c:auto val="1"/>
        <c:lblOffset val="100"/>
        <c:baseTimeUnit val="months"/>
      </c:dateAx>
      <c:valAx>
        <c:axId val="5597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88C4B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74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pPr>
              <a:defRPr>
                <a:solidFill>
                  <a:srgbClr val="C88C4B"/>
                </a:solidFill>
              </a:defRPr>
            </a:pPr>
            <a:r>
              <a:rPr lang="pt-BR">
                <a:solidFill>
                  <a:srgbClr val="C88C4B"/>
                </a:solidFill>
              </a:rPr>
              <a:t>AuM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0365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819-8044-814B-4FAEDBDCCD5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819-8044-814B-4FAEDBDCCD5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3819-8044-814B-4FAEDBDCCD54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3-3819-8044-814B-4FAEDBDCCD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19-8044-814B-4FAEDBDCCD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19-8044-814B-4FAEDBDCCD54}"/>
                </c:ext>
              </c:extLst>
            </c:dLbl>
            <c:dLbl>
              <c:idx val="2"/>
              <c:layout>
                <c:manualLayout>
                  <c:x val="-4.2166516675258447E-2"/>
                  <c:y val="0.149475298798730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19-8044-814B-4FAEDBDCCD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14-B544-84BA-93F35FE252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14-B544-84BA-93F35FE2524E}"/>
                </c:ext>
              </c:extLst>
            </c:dLbl>
            <c:dLbl>
              <c:idx val="5"/>
              <c:layout>
                <c:manualLayout>
                  <c:x val="-0.11873203379612236"/>
                  <c:y val="-5.3039622154388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14-B544-84BA-93F35FE2524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14-B544-84BA-93F35FE2524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14-B544-84BA-93F35FE2524E}"/>
                </c:ext>
              </c:extLst>
            </c:dLbl>
            <c:dLbl>
              <c:idx val="8"/>
              <c:layout>
                <c:manualLayout>
                  <c:x val="-7.6565517120863957E-2"/>
                  <c:y val="0.101257460476559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14-B544-84BA-93F35FE2524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14-B544-84BA-93F35FE2524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14-B544-84BA-93F35FE2524E}"/>
                </c:ext>
              </c:extLst>
            </c:dLbl>
            <c:dLbl>
              <c:idx val="11"/>
              <c:layout>
                <c:manualLayout>
                  <c:x val="-3.5508645621270235E-2"/>
                  <c:y val="-7.2326757483256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19-8044-814B-4FAEDBDCCD54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0"/>
              </c:ext>
            </c:extLst>
          </c:dLbls>
          <c:cat>
            <c:multiLvlStrRef>
              <c:f>AuM!$A$64:$B$75</c:f>
              <c:multiLvlStrCache>
                <c:ptCount val="12"/>
                <c:lvl>
                  <c:pt idx="0">
                    <c:v>janeiro</c:v>
                  </c:pt>
                  <c:pt idx="1">
                    <c:v>fevereiro</c:v>
                  </c:pt>
                  <c:pt idx="2">
                    <c:v>março</c:v>
                  </c:pt>
                  <c:pt idx="3">
                    <c:v>abril</c:v>
                  </c:pt>
                  <c:pt idx="4">
                    <c:v>maio</c:v>
                  </c:pt>
                  <c:pt idx="5">
                    <c:v>junho</c:v>
                  </c:pt>
                  <c:pt idx="6">
                    <c:v>julho</c:v>
                  </c:pt>
                  <c:pt idx="7">
                    <c:v>agosto</c:v>
                  </c:pt>
                  <c:pt idx="8">
                    <c:v>setembro</c:v>
                  </c:pt>
                  <c:pt idx="9">
                    <c:v>outubro</c:v>
                  </c:pt>
                  <c:pt idx="10">
                    <c:v>novembro</c:v>
                  </c:pt>
                  <c:pt idx="11">
                    <c:v>dezembro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</c:lvl>
              </c:multiLvlStrCache>
            </c:multiLvlStrRef>
          </c:cat>
          <c:val>
            <c:numRef>
              <c:f>AuM!$C$64:$C$75</c:f>
              <c:numCache>
                <c:formatCode>"R$ "#,##0.00</c:formatCode>
                <c:ptCount val="12"/>
                <c:pt idx="0">
                  <c:v>216093206</c:v>
                </c:pt>
                <c:pt idx="1">
                  <c:v>240222663</c:v>
                </c:pt>
                <c:pt idx="2">
                  <c:v>245784695</c:v>
                </c:pt>
                <c:pt idx="3">
                  <c:v>268699101</c:v>
                </c:pt>
                <c:pt idx="4">
                  <c:v>271198724</c:v>
                </c:pt>
                <c:pt idx="5">
                  <c:v>286795623</c:v>
                </c:pt>
                <c:pt idx="6">
                  <c:v>292458969</c:v>
                </c:pt>
                <c:pt idx="7">
                  <c:v>295793357</c:v>
                </c:pt>
                <c:pt idx="8">
                  <c:v>300667305</c:v>
                </c:pt>
                <c:pt idx="9">
                  <c:v>304089276</c:v>
                </c:pt>
                <c:pt idx="10">
                  <c:v>306823811</c:v>
                </c:pt>
                <c:pt idx="11">
                  <c:v>310965744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19-8044-814B-4FAEDBDCC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755447"/>
        <c:axId val="74716784"/>
      </c:lineChart>
      <c:catAx>
        <c:axId val="22755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700" b="0" u="none" strike="noStrike">
                <a:solidFill>
                  <a:srgbClr val="B25E01"/>
                </a:solidFill>
                <a:uFillTx/>
                <a:latin typeface="Calibri"/>
              </a:defRPr>
            </a:pPr>
            <a:endParaRPr lang="pt-BR"/>
          </a:p>
        </c:txPr>
        <c:crossAx val="74716784"/>
        <c:crosses val="autoZero"/>
        <c:auto val="1"/>
        <c:lblAlgn val="ctr"/>
        <c:lblOffset val="100"/>
        <c:noMultiLvlLbl val="0"/>
      </c:catAx>
      <c:valAx>
        <c:axId val="74716784"/>
        <c:scaling>
          <c:orientation val="minMax"/>
          <c:min val="20000000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E01"/>
                </a:solidFill>
                <a:uFillTx/>
                <a:latin typeface="Calibri"/>
              </a:defRPr>
            </a:pPr>
            <a:endParaRPr lang="pt-BR"/>
          </a:p>
        </c:txPr>
        <c:crossAx val="22755447"/>
        <c:crosses val="autoZero"/>
        <c:crossBetween val="between"/>
        <c:majorUnit val="15000000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03652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B44-B848-8F14-4CAA5E211D0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1-1B44-B848-8F14-4CAA5E211D0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02-1B44-B848-8F14-4CAA5E211D0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03-1B44-B848-8F14-4CAA5E211D00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04-1B44-B848-8F14-4CAA5E211D00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05-1B44-B848-8F14-4CAA5E211D00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06-1B44-B848-8F14-4CAA5E211D00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07-1B44-B848-8F14-4CAA5E211D00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08-1B44-B848-8F14-4CAA5E211D00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09-1B44-B848-8F14-4CAA5E211D00}"/>
              </c:ext>
            </c:extLst>
          </c:dPt>
          <c:dLbls>
            <c:dLbl>
              <c:idx val="0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44-B848-8F14-4CAA5E211D00}"/>
                </c:ext>
              </c:extLst>
            </c:dLbl>
            <c:dLbl>
              <c:idx val="1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44-B848-8F14-4CAA5E211D00}"/>
                </c:ext>
              </c:extLst>
            </c:dLbl>
            <c:dLbl>
              <c:idx val="2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44-B848-8F14-4CAA5E211D00}"/>
                </c:ext>
              </c:extLst>
            </c:dLbl>
            <c:dLbl>
              <c:idx val="23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44-B848-8F14-4CAA5E211D00}"/>
                </c:ext>
              </c:extLst>
            </c:dLbl>
            <c:dLbl>
              <c:idx val="35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44-B848-8F14-4CAA5E211D00}"/>
                </c:ext>
              </c:extLst>
            </c:dLbl>
            <c:dLbl>
              <c:idx val="47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44-B848-8F14-4CAA5E211D00}"/>
                </c:ext>
              </c:extLst>
            </c:dLbl>
            <c:dLbl>
              <c:idx val="59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44-B848-8F14-4CAA5E211D00}"/>
                </c:ext>
              </c:extLst>
            </c:dLbl>
            <c:dLbl>
              <c:idx val="62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44-B848-8F14-4CAA5E211D00}"/>
                </c:ext>
              </c:extLst>
            </c:dLbl>
            <c:dLbl>
              <c:idx val="71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44-B848-8F14-4CAA5E211D00}"/>
                </c:ext>
              </c:extLst>
            </c:dLbl>
            <c:dLbl>
              <c:idx val="74"/>
              <c:spPr>
                <a:solidFill>
                  <a:srgbClr val="FFFFFF"/>
                </a:solidFill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44-B848-8F14-4CAA5E211D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AuM!$B$4:$B$87</c:f>
              <c:strCache>
                <c:ptCount val="8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janeiro</c:v>
                </c:pt>
                <c:pt idx="13">
                  <c:v>fevereiro</c:v>
                </c:pt>
                <c:pt idx="14">
                  <c:v>março</c:v>
                </c:pt>
                <c:pt idx="15">
                  <c:v>abril</c:v>
                </c:pt>
                <c:pt idx="16">
                  <c:v>maio</c:v>
                </c:pt>
                <c:pt idx="17">
                  <c:v>junho</c:v>
                </c:pt>
                <c:pt idx="18">
                  <c:v>julho</c:v>
                </c:pt>
                <c:pt idx="19">
                  <c:v>agosto</c:v>
                </c:pt>
                <c:pt idx="20">
                  <c:v>setembro</c:v>
                </c:pt>
                <c:pt idx="21">
                  <c:v>outubro</c:v>
                </c:pt>
                <c:pt idx="22">
                  <c:v>novembro</c:v>
                </c:pt>
                <c:pt idx="23">
                  <c:v>dezembro</c:v>
                </c:pt>
                <c:pt idx="24">
                  <c:v>janeiro</c:v>
                </c:pt>
                <c:pt idx="25">
                  <c:v>fevereiro</c:v>
                </c:pt>
                <c:pt idx="26">
                  <c:v>março</c:v>
                </c:pt>
                <c:pt idx="27">
                  <c:v>abril</c:v>
                </c:pt>
                <c:pt idx="28">
                  <c:v>maio</c:v>
                </c:pt>
                <c:pt idx="29">
                  <c:v>junho</c:v>
                </c:pt>
                <c:pt idx="30">
                  <c:v>julho</c:v>
                </c:pt>
                <c:pt idx="31">
                  <c:v>agosto</c:v>
                </c:pt>
                <c:pt idx="32">
                  <c:v>setembro</c:v>
                </c:pt>
                <c:pt idx="33">
                  <c:v>outubro</c:v>
                </c:pt>
                <c:pt idx="34">
                  <c:v>novembro</c:v>
                </c:pt>
                <c:pt idx="35">
                  <c:v>dezembro</c:v>
                </c:pt>
                <c:pt idx="36">
                  <c:v>janeiro</c:v>
                </c:pt>
                <c:pt idx="37">
                  <c:v>fevereiro</c:v>
                </c:pt>
                <c:pt idx="38">
                  <c:v>março</c:v>
                </c:pt>
                <c:pt idx="39">
                  <c:v>abril</c:v>
                </c:pt>
                <c:pt idx="40">
                  <c:v>maio</c:v>
                </c:pt>
                <c:pt idx="41">
                  <c:v>junho</c:v>
                </c:pt>
                <c:pt idx="42">
                  <c:v>julho</c:v>
                </c:pt>
                <c:pt idx="43">
                  <c:v>agosto</c:v>
                </c:pt>
                <c:pt idx="44">
                  <c:v>setembro</c:v>
                </c:pt>
                <c:pt idx="45">
                  <c:v>outubro</c:v>
                </c:pt>
                <c:pt idx="46">
                  <c:v>novembro</c:v>
                </c:pt>
                <c:pt idx="47">
                  <c:v>dezembro</c:v>
                </c:pt>
                <c:pt idx="48">
                  <c:v>janeiro</c:v>
                </c:pt>
                <c:pt idx="49">
                  <c:v>fevereiro</c:v>
                </c:pt>
                <c:pt idx="50">
                  <c:v>março</c:v>
                </c:pt>
                <c:pt idx="51">
                  <c:v>abril</c:v>
                </c:pt>
                <c:pt idx="52">
                  <c:v>maio</c:v>
                </c:pt>
                <c:pt idx="53">
                  <c:v>junho</c:v>
                </c:pt>
                <c:pt idx="54">
                  <c:v>julho</c:v>
                </c:pt>
                <c:pt idx="55">
                  <c:v>agosto</c:v>
                </c:pt>
                <c:pt idx="56">
                  <c:v>setembro</c:v>
                </c:pt>
                <c:pt idx="57">
                  <c:v>outubro</c:v>
                </c:pt>
                <c:pt idx="58">
                  <c:v>novembro</c:v>
                </c:pt>
                <c:pt idx="59">
                  <c:v>dezembro</c:v>
                </c:pt>
                <c:pt idx="60">
                  <c:v>janeiro</c:v>
                </c:pt>
                <c:pt idx="61">
                  <c:v>fevereiro</c:v>
                </c:pt>
                <c:pt idx="62">
                  <c:v>março</c:v>
                </c:pt>
                <c:pt idx="63">
                  <c:v>abril</c:v>
                </c:pt>
                <c:pt idx="64">
                  <c:v>maio</c:v>
                </c:pt>
                <c:pt idx="65">
                  <c:v>junho</c:v>
                </c:pt>
                <c:pt idx="66">
                  <c:v>julho</c:v>
                </c:pt>
                <c:pt idx="67">
                  <c:v>agosto</c:v>
                </c:pt>
                <c:pt idx="68">
                  <c:v>setembro</c:v>
                </c:pt>
                <c:pt idx="69">
                  <c:v>outubro</c:v>
                </c:pt>
                <c:pt idx="70">
                  <c:v>novembro</c:v>
                </c:pt>
                <c:pt idx="71">
                  <c:v>dezembro</c:v>
                </c:pt>
                <c:pt idx="72">
                  <c:v>janeiro</c:v>
                </c:pt>
                <c:pt idx="73">
                  <c:v>fevereiro</c:v>
                </c:pt>
                <c:pt idx="74">
                  <c:v>março</c:v>
                </c:pt>
                <c:pt idx="75">
                  <c:v>abril</c:v>
                </c:pt>
                <c:pt idx="76">
                  <c:v>maio</c:v>
                </c:pt>
                <c:pt idx="77">
                  <c:v>junho</c:v>
                </c:pt>
                <c:pt idx="78">
                  <c:v>julho</c:v>
                </c:pt>
                <c:pt idx="79">
                  <c:v>agosto</c:v>
                </c:pt>
                <c:pt idx="80">
                  <c:v>setembro</c:v>
                </c:pt>
                <c:pt idx="81">
                  <c:v>outubro</c:v>
                </c:pt>
                <c:pt idx="82">
                  <c:v>novembro</c:v>
                </c:pt>
                <c:pt idx="83">
                  <c:v>dezembro</c:v>
                </c:pt>
              </c:strCache>
            </c:strRef>
          </c:cat>
          <c:val>
            <c:numRef>
              <c:f>AuM!$C$4:$C$87</c:f>
              <c:numCache>
                <c:formatCode>"R$ "#,##0.00</c:formatCode>
                <c:ptCount val="84"/>
                <c:pt idx="0">
                  <c:v>140000</c:v>
                </c:pt>
                <c:pt idx="1">
                  <c:v>1670000</c:v>
                </c:pt>
                <c:pt idx="2">
                  <c:v>7989000</c:v>
                </c:pt>
                <c:pt idx="3">
                  <c:v>10279000</c:v>
                </c:pt>
                <c:pt idx="4">
                  <c:v>14279000</c:v>
                </c:pt>
                <c:pt idx="5">
                  <c:v>23632000</c:v>
                </c:pt>
                <c:pt idx="6">
                  <c:v>45942000</c:v>
                </c:pt>
                <c:pt idx="7">
                  <c:v>52027000</c:v>
                </c:pt>
                <c:pt idx="8">
                  <c:v>55488000</c:v>
                </c:pt>
                <c:pt idx="9">
                  <c:v>57587000</c:v>
                </c:pt>
                <c:pt idx="10">
                  <c:v>62318000</c:v>
                </c:pt>
                <c:pt idx="11">
                  <c:v>73497000</c:v>
                </c:pt>
                <c:pt idx="12">
                  <c:v>78000000</c:v>
                </c:pt>
                <c:pt idx="13">
                  <c:v>80132000</c:v>
                </c:pt>
                <c:pt idx="14">
                  <c:v>83345000</c:v>
                </c:pt>
                <c:pt idx="15">
                  <c:v>85167000</c:v>
                </c:pt>
                <c:pt idx="16">
                  <c:v>84227000</c:v>
                </c:pt>
                <c:pt idx="17">
                  <c:v>84040000</c:v>
                </c:pt>
                <c:pt idx="18">
                  <c:v>83505000</c:v>
                </c:pt>
                <c:pt idx="19">
                  <c:v>88412500</c:v>
                </c:pt>
                <c:pt idx="20">
                  <c:v>91588500</c:v>
                </c:pt>
                <c:pt idx="21">
                  <c:v>89282500</c:v>
                </c:pt>
                <c:pt idx="22">
                  <c:v>90211900</c:v>
                </c:pt>
                <c:pt idx="23">
                  <c:v>102791730</c:v>
                </c:pt>
                <c:pt idx="24">
                  <c:v>102901730</c:v>
                </c:pt>
                <c:pt idx="25">
                  <c:v>104946730</c:v>
                </c:pt>
                <c:pt idx="26">
                  <c:v>108974330</c:v>
                </c:pt>
                <c:pt idx="27">
                  <c:v>111464130</c:v>
                </c:pt>
                <c:pt idx="28">
                  <c:v>114549130</c:v>
                </c:pt>
                <c:pt idx="29">
                  <c:v>110465130</c:v>
                </c:pt>
                <c:pt idx="30">
                  <c:v>114886703</c:v>
                </c:pt>
                <c:pt idx="31">
                  <c:v>121044703</c:v>
                </c:pt>
                <c:pt idx="32">
                  <c:v>120045703</c:v>
                </c:pt>
                <c:pt idx="33">
                  <c:v>124505703</c:v>
                </c:pt>
                <c:pt idx="34">
                  <c:v>124747703</c:v>
                </c:pt>
                <c:pt idx="35">
                  <c:v>132092873</c:v>
                </c:pt>
                <c:pt idx="36">
                  <c:v>139279413</c:v>
                </c:pt>
                <c:pt idx="37">
                  <c:v>154461413</c:v>
                </c:pt>
                <c:pt idx="38">
                  <c:v>170382813</c:v>
                </c:pt>
                <c:pt idx="39">
                  <c:v>172774223</c:v>
                </c:pt>
                <c:pt idx="40">
                  <c:v>177770223</c:v>
                </c:pt>
                <c:pt idx="41">
                  <c:v>186827868</c:v>
                </c:pt>
                <c:pt idx="42">
                  <c:v>191841913</c:v>
                </c:pt>
                <c:pt idx="43">
                  <c:v>203247793</c:v>
                </c:pt>
                <c:pt idx="44">
                  <c:v>189460326</c:v>
                </c:pt>
                <c:pt idx="45">
                  <c:v>191324326</c:v>
                </c:pt>
                <c:pt idx="46">
                  <c:v>192604326</c:v>
                </c:pt>
                <c:pt idx="47">
                  <c:v>197799896</c:v>
                </c:pt>
                <c:pt idx="48">
                  <c:v>198682357</c:v>
                </c:pt>
                <c:pt idx="49">
                  <c:v>201650489</c:v>
                </c:pt>
                <c:pt idx="50">
                  <c:v>205117261</c:v>
                </c:pt>
                <c:pt idx="51">
                  <c:v>214972687</c:v>
                </c:pt>
                <c:pt idx="52">
                  <c:v>201977250</c:v>
                </c:pt>
                <c:pt idx="53">
                  <c:v>204036094</c:v>
                </c:pt>
                <c:pt idx="54">
                  <c:v>206802825</c:v>
                </c:pt>
                <c:pt idx="55">
                  <c:v>212110681</c:v>
                </c:pt>
                <c:pt idx="56">
                  <c:v>194722394</c:v>
                </c:pt>
                <c:pt idx="57">
                  <c:v>197478689</c:v>
                </c:pt>
                <c:pt idx="58">
                  <c:v>204031269</c:v>
                </c:pt>
                <c:pt idx="59">
                  <c:v>204764492</c:v>
                </c:pt>
                <c:pt idx="60">
                  <c:v>216093206</c:v>
                </c:pt>
                <c:pt idx="61">
                  <c:v>240222663</c:v>
                </c:pt>
                <c:pt idx="62">
                  <c:v>245784695</c:v>
                </c:pt>
                <c:pt idx="63">
                  <c:v>268699101</c:v>
                </c:pt>
                <c:pt idx="64">
                  <c:v>271198724</c:v>
                </c:pt>
                <c:pt idx="65">
                  <c:v>286795623</c:v>
                </c:pt>
                <c:pt idx="66">
                  <c:v>292458969</c:v>
                </c:pt>
                <c:pt idx="67">
                  <c:v>295793357</c:v>
                </c:pt>
                <c:pt idx="68">
                  <c:v>300667305</c:v>
                </c:pt>
                <c:pt idx="69">
                  <c:v>304089276</c:v>
                </c:pt>
                <c:pt idx="70">
                  <c:v>306823811</c:v>
                </c:pt>
                <c:pt idx="71">
                  <c:v>310965744</c:v>
                </c:pt>
                <c:pt idx="72">
                  <c:v>290504767</c:v>
                </c:pt>
                <c:pt idx="73">
                  <c:v>304511145</c:v>
                </c:pt>
                <c:pt idx="74">
                  <c:v>309415143</c:v>
                </c:pt>
                <c:pt idx="75">
                  <c:v>311856596</c:v>
                </c:pt>
                <c:pt idx="76">
                  <c:v>312069591</c:v>
                </c:pt>
                <c:pt idx="77">
                  <c:v>295791970</c:v>
                </c:pt>
                <c:pt idx="78">
                  <c:v>254401486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44-B848-8F14-4CAA5E211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96663"/>
        <c:axId val="24026348"/>
      </c:lineChart>
      <c:catAx>
        <c:axId val="9296663"/>
        <c:scaling>
          <c:orientation val="minMax"/>
        </c:scaling>
        <c:delete val="1"/>
        <c:axPos val="b"/>
        <c:numFmt formatCode="General" sourceLinked="1"/>
        <c:majorTickMark val="in"/>
        <c:minorTickMark val="none"/>
        <c:tickLblPos val="nextTo"/>
        <c:crossAx val="24026348"/>
        <c:crosses val="autoZero"/>
        <c:auto val="1"/>
        <c:lblAlgn val="ctr"/>
        <c:lblOffset val="100"/>
        <c:noMultiLvlLbl val="0"/>
      </c:catAx>
      <c:valAx>
        <c:axId val="24026348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E01"/>
                </a:solidFill>
                <a:uFillTx/>
                <a:latin typeface="Calibri"/>
              </a:defRPr>
            </a:pPr>
            <a:endParaRPr lang="pt-BR"/>
          </a:p>
        </c:txPr>
        <c:crossAx val="92966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Captação Líquida Acumulada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3354"/>
            </a:solidFill>
            <a:ln w="12600">
              <a:solidFill>
                <a:srgbClr val="B25D01"/>
              </a:solidFill>
              <a:round/>
            </a:ln>
          </c:spPr>
          <c:invertIfNegative val="0"/>
          <c:dLbls>
            <c:numFmt formatCode="General" sourceLinked="0"/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General</c:formatCode>
                <c:ptCount val="6"/>
                <c:pt idx="0">
                  <c:v>100000</c:v>
                </c:pt>
                <c:pt idx="1">
                  <c:v>6299971</c:v>
                </c:pt>
                <c:pt idx="2">
                  <c:v>7791714</c:v>
                </c:pt>
                <c:pt idx="3">
                  <c:v>12721189</c:v>
                </c:pt>
                <c:pt idx="4">
                  <c:v>19172737</c:v>
                </c:pt>
                <c:pt idx="5">
                  <c:v>22894842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Captação Líquida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6"/>
                      <c:pt idx="0">
                        <c:v>BRUNO</c:v>
                      </c:pt>
                      <c:pt idx="1">
                        <c:v>PEDRO</c:v>
                      </c:pt>
                      <c:pt idx="2">
                        <c:v>SIDNEY</c:v>
                      </c:pt>
                      <c:pt idx="3">
                        <c:v>CRISTIANO</c:v>
                      </c:pt>
                      <c:pt idx="4">
                        <c:v>GAIOSO</c:v>
                      </c:pt>
                      <c:pt idx="5">
                        <c:v>LAMOUR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351-E84C-BDFA-CB4ED958E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37699"/>
        <c:axId val="88245158"/>
      </c:barChart>
      <c:catAx>
        <c:axId val="227376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pt-BR"/>
          </a:p>
        </c:txPr>
        <c:crossAx val="88245158"/>
        <c:crosses val="autoZero"/>
        <c:auto val="1"/>
        <c:lblAlgn val="ctr"/>
        <c:lblOffset val="100"/>
        <c:noMultiLvlLbl val="0"/>
      </c:catAx>
      <c:valAx>
        <c:axId val="88245158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pt-BR"/>
          </a:p>
        </c:txPr>
        <c:crossAx val="227376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B25D01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Meta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497457235321298E-2"/>
          <c:y val="0.202377228651861"/>
          <c:w val="0.87244567730004596"/>
          <c:h val="0.43055989990616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003354"/>
            </a:solidFill>
            <a:ln w="12600"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02D-244E-BD00-FBE6872DCE1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02D-244E-BD00-FBE6872DCE1D}"/>
              </c:ext>
            </c:extLst>
          </c:dPt>
          <c:dLbls>
            <c:dLbl>
              <c:idx val="0"/>
              <c:numFmt formatCode="General" sourceLinked="0"/>
              <c:spPr>
                <a:solidFill>
                  <a:srgbClr val="FFFFFF"/>
                </a:solidFill>
                <a:ln w="9360">
                  <a:solidFill>
                    <a:srgbClr val="303030"/>
                  </a:solidFill>
                </a:ln>
              </c:spPr>
              <c:txPr>
                <a:bodyPr wrap="square"/>
                <a:lstStyle/>
                <a:p>
                  <a:pPr>
                    <a:defRPr sz="900" b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2D-244E-BD00-FBE6872DCE1D}"/>
                </c:ext>
              </c:extLst>
            </c:dLbl>
            <c:dLbl>
              <c:idx val="1"/>
              <c:dLblPos val="ctr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2D-244E-BD00-FBE6872DCE1D}"/>
                </c:ext>
              </c:extLst>
            </c:dLbl>
            <c:numFmt formatCode="General" sourceLinked="0"/>
            <c:spPr>
              <a:solidFill>
                <a:srgbClr val="FFFFFF"/>
              </a:solidFill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General</c:formatCode>
                <c:ptCount val="2"/>
                <c:pt idx="0">
                  <c:v>107376669</c:v>
                </c:pt>
                <c:pt idx="1">
                  <c:v>1.07376669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0</c15:sqref>
                        </c15:formulaRef>
                      </c:ext>
                    </c:extLst>
                    <c:strCache>
                      <c:ptCount val="1"/>
                      <c:pt idx="0">
                        <c:v>Atual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02D-244E-BD00-FBE6872DCE1D}"/>
            </c:ext>
          </c:extLst>
        </c:ser>
        <c:ser>
          <c:idx val="1"/>
          <c:order val="1"/>
          <c:spPr>
            <a:solidFill>
              <a:srgbClr val="B25D01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1</c:f>
              <c:numCache>
                <c:formatCode>General</c:formatCode>
                <c:ptCount val="2"/>
                <c:pt idx="0">
                  <c:v>100000000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1</c15:sqref>
                        </c15:formulaRef>
                      </c:ext>
                    </c:extLst>
                    <c:strCache>
                      <c:ptCount val="1"/>
                      <c:pt idx="0">
                        <c:v>Meta 2025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02D-244E-BD00-FBE6872DCE1D}"/>
            </c:ext>
          </c:extLst>
        </c:ser>
        <c:ser>
          <c:idx val="2"/>
          <c:order val="2"/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2</c:f>
              <c:numCache>
                <c:formatCode>General</c:formatCode>
                <c:ptCount val="2"/>
                <c:pt idx="0">
                  <c:v>100000000</c:v>
                </c:pt>
                <c:pt idx="1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label 2</c15:sqref>
                        </c15:formulaRef>
                      </c:ext>
                    </c:extLst>
                    <c:strCache>
                      <c:ptCount val="1"/>
                      <c:pt idx="0">
                        <c:v>Meta Parcial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02D-244E-BD00-FBE6872D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overlap val="100"/>
        <c:axId val="17501655"/>
        <c:axId val="48776226"/>
      </c:barChart>
      <c:catAx>
        <c:axId val="1750165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776226"/>
        <c:crosses val="autoZero"/>
        <c:auto val="1"/>
        <c:lblAlgn val="ctr"/>
        <c:lblOffset val="100"/>
        <c:noMultiLvlLbl val="0"/>
      </c:catAx>
      <c:valAx>
        <c:axId val="48776226"/>
        <c:scaling>
          <c:orientation val="minMax"/>
          <c:max val="100000000"/>
          <c:min val="0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numFmt formatCode="&quot;R$ &quot;#,##0" sourceLinked="0"/>
        <c:majorTickMark val="out"/>
        <c:minorTickMark val="in"/>
        <c:tickLblPos val="nextTo"/>
        <c:spPr>
          <a:ln w="9360">
            <a:solidFill>
              <a:srgbClr val="B25D0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pt-BR"/>
          </a:p>
        </c:txPr>
        <c:crossAx val="17501655"/>
        <c:crosses val="autoZero"/>
        <c:crossBetween val="between"/>
        <c:majorUnit val="8333333.3300000001"/>
        <c:minorUnit val="8333333.3300000001"/>
        <c:dispUnits>
          <c:builtInUnit val="millions"/>
          <c:dispUnitsLbl/>
        </c:dispUnits>
      </c:valAx>
      <c:spPr>
        <a:solidFill>
          <a:srgbClr val="FFFFFF"/>
        </a:solidFill>
        <a:ln w="0">
          <a:noFill/>
        </a:ln>
      </c:spPr>
    </c:plotArea>
    <c:legend>
      <c:legendPos val="b"/>
      <c:layout>
        <c:manualLayout>
          <c:xMode val="edge"/>
          <c:yMode val="edge"/>
          <c:x val="0.341089736508081"/>
          <c:y val="0.81539297161639102"/>
          <c:w val="0.31673403115773002"/>
          <c:h val="9.4240704126538705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B25D01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0F365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rnd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AuM!$B$75:$B$82</c:f>
              <c:strCache>
                <c:ptCount val="8"/>
                <c:pt idx="0">
                  <c:v>dezembro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</c:strCache>
            </c:strRef>
          </c:cat>
          <c:val>
            <c:numRef>
              <c:f>AuM!$C$75:$C$82</c:f>
              <c:numCache>
                <c:formatCode>"R$ "#,##0.00</c:formatCode>
                <c:ptCount val="8"/>
                <c:pt idx="0">
                  <c:v>310965744</c:v>
                </c:pt>
                <c:pt idx="1">
                  <c:v>290504767</c:v>
                </c:pt>
                <c:pt idx="2">
                  <c:v>304511145</c:v>
                </c:pt>
                <c:pt idx="3">
                  <c:v>309415143</c:v>
                </c:pt>
                <c:pt idx="4">
                  <c:v>311856596</c:v>
                </c:pt>
                <c:pt idx="5">
                  <c:v>312069591</c:v>
                </c:pt>
                <c:pt idx="6">
                  <c:v>295791970</c:v>
                </c:pt>
                <c:pt idx="7">
                  <c:v>254401486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9-B544-80F2-8D46411C2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110643"/>
        <c:axId val="36248180"/>
      </c:lineChart>
      <c:catAx>
        <c:axId val="901106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36248180"/>
        <c:crosses val="autoZero"/>
        <c:auto val="1"/>
        <c:lblAlgn val="ctr"/>
        <c:lblOffset val="100"/>
        <c:noMultiLvlLbl val="0"/>
      </c:catAx>
      <c:valAx>
        <c:axId val="3624818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B25D01"/>
                </a:solidFill>
                <a:uFillTx/>
                <a:latin typeface="Calibri"/>
              </a:defRPr>
            </a:pPr>
            <a:endParaRPr lang="pt-BR"/>
          </a:p>
        </c:txPr>
        <c:crossAx val="901106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Captação!$F$6</c:f>
              <c:strCache>
                <c:ptCount val="1"/>
                <c:pt idx="0">
                  <c:v>Captação líquida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Captação!$G$3:$R$3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Captação!$G$6:$R$6</c:f>
              <c:numCache>
                <c:formatCode>"R$"\ #,##0.00</c:formatCode>
                <c:ptCount val="12"/>
                <c:pt idx="0">
                  <c:v>-21263977</c:v>
                </c:pt>
                <c:pt idx="1">
                  <c:v>13701377</c:v>
                </c:pt>
                <c:pt idx="2">
                  <c:v>4903998</c:v>
                </c:pt>
                <c:pt idx="3">
                  <c:v>2441453</c:v>
                </c:pt>
                <c:pt idx="4">
                  <c:v>212995</c:v>
                </c:pt>
                <c:pt idx="5">
                  <c:v>-15310509</c:v>
                </c:pt>
                <c:pt idx="6">
                  <c:v>-34513484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3-9844-B40A-EA4AF0CD0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048063"/>
        <c:axId val="812390527"/>
      </c:barChart>
      <c:catAx>
        <c:axId val="71304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2390527"/>
        <c:crosses val="autoZero"/>
        <c:auto val="1"/>
        <c:lblAlgn val="ctr"/>
        <c:lblOffset val="100"/>
        <c:noMultiLvlLbl val="0"/>
      </c:catAx>
      <c:valAx>
        <c:axId val="81239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304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4180770083511902"/>
          <c:y val="0.16327568667344899"/>
          <c:w val="0.36930012563742498"/>
          <c:h val="0.60045778229908398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16"/>
          <c:dPt>
            <c:idx val="0"/>
            <c:bubble3D val="0"/>
            <c:spPr>
              <a:solidFill>
                <a:srgbClr val="1036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84D-574D-AFEC-86D557F73DB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84D-574D-AFEC-86D557F73DB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84D-574D-AFEC-86D557F73DB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84D-574D-AFEC-86D557F73DB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84D-574D-AFEC-86D557F73DB0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84D-574D-AFEC-86D557F73DB0}"/>
              </c:ext>
            </c:extLst>
          </c:dPt>
          <c:dPt>
            <c:idx val="6"/>
            <c:bubble3D val="0"/>
            <c:spPr>
              <a:solidFill>
                <a:srgbClr val="2C4D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84D-574D-AFEC-86D557F73DB0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4D-574D-AFEC-86D557F73DB0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4D-574D-AFEC-86D557F73DB0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4D-574D-AFEC-86D557F73DB0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4D-574D-AFEC-86D557F73DB0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4D-574D-AFEC-86D557F73DB0}"/>
                </c:ext>
              </c:extLst>
            </c:dLbl>
            <c:dLbl>
              <c:idx val="5"/>
              <c:dLblPos val="bestFit"/>
              <c:showLegendKey val="0"/>
              <c:showVal val="0"/>
              <c:showCatName val="1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84D-574D-AFEC-86D557F73DB0}"/>
                </c:ext>
              </c:extLst>
            </c:dLbl>
            <c:dLbl>
              <c:idx val="6"/>
              <c:dLblPos val="ctr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84D-574D-AFEC-86D557F73DB0}"/>
                </c:ext>
              </c:extLst>
            </c:dLbl>
            <c:spPr>
              <a:solidFill>
                <a:srgbClr val="000000"/>
              </a:solidFill>
            </c:spPr>
            <c:txPr>
              <a:bodyPr wrap="square"/>
              <a:lstStyle/>
              <a:p>
                <a:pPr>
                  <a:defRPr sz="1330" b="1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Receita!$AC$30:$AC$36</c:f>
              <c:strCache>
                <c:ptCount val="7"/>
                <c:pt idx="0">
                  <c:v>Consultoria</c:v>
                </c:pt>
                <c:pt idx="1">
                  <c:v>Institucional</c:v>
                </c:pt>
                <c:pt idx="2">
                  <c:v>Vida</c:v>
                </c:pt>
                <c:pt idx="3">
                  <c:v>Consórcio</c:v>
                </c:pt>
                <c:pt idx="4">
                  <c:v>Planejamento</c:v>
                </c:pt>
                <c:pt idx="5">
                  <c:v>Previdência</c:v>
                </c:pt>
                <c:pt idx="6">
                  <c:v>Outros</c:v>
                </c:pt>
              </c:strCache>
            </c:strRef>
          </c:cat>
          <c:val>
            <c:numRef>
              <c:f>Receita!$AD$30:$AD$36</c:f>
              <c:numCache>
                <c:formatCode>0.0%</c:formatCode>
                <c:ptCount val="7"/>
                <c:pt idx="0">
                  <c:v>0.65353979140664609</c:v>
                </c:pt>
                <c:pt idx="1">
                  <c:v>0.15835338085537309</c:v>
                </c:pt>
                <c:pt idx="2">
                  <c:v>5.6014156632822297E-2</c:v>
                </c:pt>
                <c:pt idx="3">
                  <c:v>3.5685694982786412E-2</c:v>
                </c:pt>
                <c:pt idx="4">
                  <c:v>3.6330873043799616E-2</c:v>
                </c:pt>
                <c:pt idx="5">
                  <c:v>1.5129609082164529E-2</c:v>
                </c:pt>
                <c:pt idx="6">
                  <c:v>4.4946493996407828E-2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4D-574D-AFEC-86D557F7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B25E01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Gastos!$AC$23:$AC$34</c:f>
              <c:strCache>
                <c:ptCount val="10"/>
                <c:pt idx="0">
                  <c:v>Encargos</c:v>
                </c:pt>
                <c:pt idx="1">
                  <c:v>Imobilizados e equipamentos</c:v>
                </c:pt>
                <c:pt idx="2">
                  <c:v>Despesas com Vendas</c:v>
                </c:pt>
                <c:pt idx="3">
                  <c:v>Estornos</c:v>
                </c:pt>
                <c:pt idx="4">
                  <c:v>Despesas Administrativas</c:v>
                </c:pt>
                <c:pt idx="5">
                  <c:v>Investimento estratégico</c:v>
                </c:pt>
                <c:pt idx="6">
                  <c:v>Tesouro Mato Grosso</c:v>
                </c:pt>
                <c:pt idx="7">
                  <c:v>PLR e Bônus</c:v>
                </c:pt>
                <c:pt idx="8">
                  <c:v>Impostos sobre Vendas e sobre Serviços</c:v>
                </c:pt>
                <c:pt idx="9">
                  <c:v>Comissões</c:v>
                </c:pt>
              </c:strCache>
            </c:strRef>
          </c:cat>
          <c:val>
            <c:numRef>
              <c:f>Gastos!#REF!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2-5146-8CA0-AB5CF3AD1943}"/>
            </c:ext>
          </c:extLst>
        </c:ser>
        <c:ser>
          <c:idx val="1"/>
          <c:order val="1"/>
          <c:spPr>
            <a:solidFill>
              <a:srgbClr val="B25E01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Gastos!$AC$23:$AC$34</c:f>
              <c:strCache>
                <c:ptCount val="10"/>
                <c:pt idx="0">
                  <c:v>Encargos</c:v>
                </c:pt>
                <c:pt idx="1">
                  <c:v>Imobilizados e equipamentos</c:v>
                </c:pt>
                <c:pt idx="2">
                  <c:v>Despesas com Vendas</c:v>
                </c:pt>
                <c:pt idx="3">
                  <c:v>Estornos</c:v>
                </c:pt>
                <c:pt idx="4">
                  <c:v>Despesas Administrativas</c:v>
                </c:pt>
                <c:pt idx="5">
                  <c:v>Investimento estratégico</c:v>
                </c:pt>
                <c:pt idx="6">
                  <c:v>Tesouro Mato Grosso</c:v>
                </c:pt>
                <c:pt idx="7">
                  <c:v>PLR e Bônus</c:v>
                </c:pt>
                <c:pt idx="8">
                  <c:v>Impostos sobre Vendas e sobre Serviços</c:v>
                </c:pt>
                <c:pt idx="9">
                  <c:v>Comissões</c:v>
                </c:pt>
              </c:strCache>
            </c:strRef>
          </c:cat>
          <c:val>
            <c:numRef>
              <c:f>Gastos!$AE$23:$AE$34</c:f>
              <c:numCache>
                <c:formatCode>"R$ "#,##0.00</c:formatCode>
                <c:ptCount val="10"/>
                <c:pt idx="0">
                  <c:v>0.8</c:v>
                </c:pt>
                <c:pt idx="1">
                  <c:v>836.98</c:v>
                </c:pt>
                <c:pt idx="2">
                  <c:v>3317.91</c:v>
                </c:pt>
                <c:pt idx="3">
                  <c:v>11455.259999999998</c:v>
                </c:pt>
                <c:pt idx="4">
                  <c:v>22152.41</c:v>
                </c:pt>
                <c:pt idx="5">
                  <c:v>97517.610000000015</c:v>
                </c:pt>
                <c:pt idx="6">
                  <c:v>173566.01</c:v>
                </c:pt>
                <c:pt idx="7">
                  <c:v>177617.16</c:v>
                </c:pt>
                <c:pt idx="8">
                  <c:v>383514.9</c:v>
                </c:pt>
                <c:pt idx="9">
                  <c:v>693136.55999999994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2-5146-8CA0-AB5CF3AD1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01566"/>
        <c:axId val="51271449"/>
      </c:barChart>
      <c:catAx>
        <c:axId val="4860156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endParaRPr lang="pt-BR"/>
          </a:p>
        </c:txPr>
        <c:crossAx val="51271449"/>
        <c:crosses val="autoZero"/>
        <c:auto val="1"/>
        <c:lblAlgn val="ctr"/>
        <c:lblOffset val="100"/>
        <c:noMultiLvlLbl val="0"/>
      </c:catAx>
      <c:valAx>
        <c:axId val="51271449"/>
        <c:scaling>
          <c:orientation val="minMax"/>
        </c:scaling>
        <c:delete val="1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crossAx val="48601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Andlz'!$A$15</c:f>
              <c:strCache>
                <c:ptCount val="1"/>
                <c:pt idx="0">
                  <c:v>FCF Descontado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'DCF Andlz'!$B$11:$F$11</c:f>
              <c:numCache>
                <c:formatCode>General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'DCF Andlz'!$B$15:$F$15</c:f>
              <c:numCache>
                <c:formatCode>"R$ "#,##0;"(R$ "#,##0\);\-</c:formatCode>
                <c:ptCount val="5"/>
                <c:pt idx="0">
                  <c:v>360232.15202103928</c:v>
                </c:pt>
                <c:pt idx="1">
                  <c:v>374641.43810188083</c:v>
                </c:pt>
                <c:pt idx="2">
                  <c:v>389627.09562595614</c:v>
                </c:pt>
                <c:pt idx="3">
                  <c:v>405212.17945099442</c:v>
                </c:pt>
                <c:pt idx="4">
                  <c:v>421420.66662903421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D-3641-813B-76D5F2ED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142527"/>
        <c:axId val="729138495"/>
      </c:barChart>
      <c:catAx>
        <c:axId val="7291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138495"/>
        <c:crosses val="autoZero"/>
        <c:auto val="1"/>
        <c:lblAlgn val="ctr"/>
        <c:lblOffset val="100"/>
        <c:noMultiLvlLbl val="0"/>
      </c:catAx>
      <c:valAx>
        <c:axId val="7291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;&quot;(R$ 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914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3403</xdr:colOff>
      <xdr:row>21</xdr:row>
      <xdr:rowOff>12600</xdr:rowOff>
    </xdr:from>
    <xdr:to>
      <xdr:col>16</xdr:col>
      <xdr:colOff>1282454</xdr:colOff>
      <xdr:row>37</xdr:row>
      <xdr:rowOff>100080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473400</xdr:colOff>
      <xdr:row>19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</xdr:row>
      <xdr:rowOff>0</xdr:rowOff>
    </xdr:from>
    <xdr:to>
      <xdr:col>32</xdr:col>
      <xdr:colOff>473040</xdr:colOff>
      <xdr:row>19</xdr:row>
      <xdr:rowOff>1080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41</xdr:col>
      <xdr:colOff>0</xdr:colOff>
      <xdr:row>2</xdr:row>
      <xdr:rowOff>0</xdr:rowOff>
    </xdr:from>
    <xdr:to>
      <xdr:col>52</xdr:col>
      <xdr:colOff>473400</xdr:colOff>
      <xdr:row>19</xdr:row>
      <xdr:rowOff>1080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12</xdr:col>
      <xdr:colOff>473400</xdr:colOff>
      <xdr:row>37</xdr:row>
      <xdr:rowOff>1080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0</xdr:colOff>
      <xdr:row>20</xdr:row>
      <xdr:rowOff>0</xdr:rowOff>
    </xdr:from>
    <xdr:to>
      <xdr:col>32</xdr:col>
      <xdr:colOff>473040</xdr:colOff>
      <xdr:row>37</xdr:row>
      <xdr:rowOff>1080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41</xdr:col>
      <xdr:colOff>0</xdr:colOff>
      <xdr:row>20</xdr:row>
      <xdr:rowOff>0</xdr:rowOff>
    </xdr:from>
    <xdr:to>
      <xdr:col>52</xdr:col>
      <xdr:colOff>473400</xdr:colOff>
      <xdr:row>37</xdr:row>
      <xdr:rowOff>1080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12</xdr:col>
      <xdr:colOff>473400</xdr:colOff>
      <xdr:row>55</xdr:row>
      <xdr:rowOff>1080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21</xdr:col>
      <xdr:colOff>0</xdr:colOff>
      <xdr:row>38</xdr:row>
      <xdr:rowOff>0</xdr:rowOff>
    </xdr:from>
    <xdr:to>
      <xdr:col>32</xdr:col>
      <xdr:colOff>473040</xdr:colOff>
      <xdr:row>55</xdr:row>
      <xdr:rowOff>1080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41</xdr:col>
      <xdr:colOff>0</xdr:colOff>
      <xdr:row>38</xdr:row>
      <xdr:rowOff>0</xdr:rowOff>
    </xdr:from>
    <xdr:to>
      <xdr:col>52</xdr:col>
      <xdr:colOff>473400</xdr:colOff>
      <xdr:row>55</xdr:row>
      <xdr:rowOff>1080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12</xdr:col>
      <xdr:colOff>473400</xdr:colOff>
      <xdr:row>73</xdr:row>
      <xdr:rowOff>1080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48814</xdr:colOff>
      <xdr:row>36</xdr:row>
      <xdr:rowOff>607</xdr:rowOff>
    </xdr:from>
    <xdr:to>
      <xdr:col>38</xdr:col>
      <xdr:colOff>15769</xdr:colOff>
      <xdr:row>61</xdr:row>
      <xdr:rowOff>15771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39</xdr:col>
      <xdr:colOff>18013</xdr:colOff>
      <xdr:row>36</xdr:row>
      <xdr:rowOff>18250</xdr:rowOff>
    </xdr:from>
    <xdr:to>
      <xdr:col>56</xdr:col>
      <xdr:colOff>43994</xdr:colOff>
      <xdr:row>51</xdr:row>
      <xdr:rowOff>29052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14112</xdr:colOff>
      <xdr:row>3</xdr:row>
      <xdr:rowOff>0</xdr:rowOff>
    </xdr:from>
    <xdr:to>
      <xdr:col>56</xdr:col>
      <xdr:colOff>29054</xdr:colOff>
      <xdr:row>33</xdr:row>
      <xdr:rowOff>168835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A2CF87-A175-E24B-8AD3-9CF5069D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3</xdr:row>
      <xdr:rowOff>0</xdr:rowOff>
    </xdr:from>
    <xdr:to>
      <xdr:col>38</xdr:col>
      <xdr:colOff>2489</xdr:colOff>
      <xdr:row>33</xdr:row>
      <xdr:rowOff>196726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971E06D-35D3-C64D-8A5E-EB5256B5B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7055</xdr:colOff>
      <xdr:row>52</xdr:row>
      <xdr:rowOff>4232</xdr:rowOff>
    </xdr:from>
    <xdr:to>
      <xdr:col>55</xdr:col>
      <xdr:colOff>804334</xdr:colOff>
      <xdr:row>69</xdr:row>
      <xdr:rowOff>183444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C85D54-B6A0-F369-A0C8-C3D91F6F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1126440</xdr:colOff>
      <xdr:row>28</xdr:row>
      <xdr:rowOff>184320</xdr:rowOff>
    </xdr:from>
    <xdr:to>
      <xdr:col>16</xdr:col>
      <xdr:colOff>341440</xdr:colOff>
      <xdr:row>42</xdr:row>
      <xdr:rowOff>151200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1126440</xdr:colOff>
      <xdr:row>47</xdr:row>
      <xdr:rowOff>19080</xdr:rowOff>
    </xdr:from>
    <xdr:to>
      <xdr:col>15</xdr:col>
      <xdr:colOff>835100</xdr:colOff>
      <xdr:row>66</xdr:row>
      <xdr:rowOff>100080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35</xdr:col>
      <xdr:colOff>0</xdr:colOff>
      <xdr:row>10</xdr:row>
      <xdr:rowOff>12700</xdr:rowOff>
    </xdr:from>
    <xdr:to>
      <xdr:col>52</xdr:col>
      <xdr:colOff>506520</xdr:colOff>
      <xdr:row>22</xdr:row>
      <xdr:rowOff>12700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12600</xdr:colOff>
      <xdr:row>10</xdr:row>
      <xdr:rowOff>12600</xdr:rowOff>
    </xdr:from>
    <xdr:to>
      <xdr:col>34</xdr:col>
      <xdr:colOff>200520</xdr:colOff>
      <xdr:row>22</xdr:row>
      <xdr:rowOff>28080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171360</xdr:colOff>
      <xdr:row>67</xdr:row>
      <xdr:rowOff>114480</xdr:rowOff>
    </xdr:from>
    <xdr:to>
      <xdr:col>15</xdr:col>
      <xdr:colOff>443060</xdr:colOff>
      <xdr:row>81</xdr:row>
      <xdr:rowOff>187920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184150</xdr:rowOff>
    </xdr:from>
    <xdr:to>
      <xdr:col>17</xdr:col>
      <xdr:colOff>1206500</xdr:colOff>
      <xdr:row>35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E253F7-5B15-435B-3F4F-A4E83F619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95400</xdr:colOff>
      <xdr:row>24</xdr:row>
      <xdr:rowOff>133200</xdr:rowOff>
    </xdr:from>
    <xdr:to>
      <xdr:col>35</xdr:col>
      <xdr:colOff>538561</xdr:colOff>
      <xdr:row>38</xdr:row>
      <xdr:rowOff>18900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320400</xdr:colOff>
      <xdr:row>1</xdr:row>
      <xdr:rowOff>74880</xdr:rowOff>
    </xdr:from>
    <xdr:to>
      <xdr:col>5</xdr:col>
      <xdr:colOff>621000</xdr:colOff>
      <xdr:row>9</xdr:row>
      <xdr:rowOff>106200</xdr:rowOff>
    </xdr:to>
    <xdr:grpSp>
      <xdr:nvGrpSpPr>
        <xdr:cNvPr id="25" name="Agrupar 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pSpPr/>
      </xdr:nvGrpSpPr>
      <xdr:grpSpPr>
        <a:xfrm>
          <a:off x="3482700" y="278080"/>
          <a:ext cx="1380100" cy="1656920"/>
          <a:chOff x="3244680" y="275040"/>
          <a:chExt cx="1298880" cy="1631520"/>
        </a:xfrm>
      </xdr:grpSpPr>
      <xdr:pic>
        <xdr:nvPicPr>
          <xdr:cNvPr id="26" name="Imagem 3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3244680" y="275040"/>
            <a:ext cx="1298880" cy="163152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>
    <xdr:from>
      <xdr:col>5</xdr:col>
      <xdr:colOff>12700</xdr:colOff>
      <xdr:row>2</xdr:row>
      <xdr:rowOff>50800</xdr:rowOff>
    </xdr:from>
    <xdr:to>
      <xdr:col>25</xdr:col>
      <xdr:colOff>809657</xdr:colOff>
      <xdr:row>11</xdr:row>
      <xdr:rowOff>76985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1A64444-E8C2-204C-BDE9-FF47A4610A69}"/>
            </a:ext>
          </a:extLst>
        </xdr:cNvPr>
        <xdr:cNvSpPr/>
      </xdr:nvSpPr>
      <xdr:spPr>
        <a:xfrm>
          <a:off x="4254500" y="457200"/>
          <a:ext cx="16392557" cy="1854985"/>
        </a:xfrm>
        <a:prstGeom prst="rect">
          <a:avLst/>
        </a:prstGeom>
        <a:solidFill>
          <a:srgbClr val="2E41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228600</xdr:colOff>
      <xdr:row>2</xdr:row>
      <xdr:rowOff>139701</xdr:rowOff>
    </xdr:from>
    <xdr:to>
      <xdr:col>6</xdr:col>
      <xdr:colOff>1231900</xdr:colOff>
      <xdr:row>10</xdr:row>
      <xdr:rowOff>127001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Empresa 1">
              <a:extLst>
                <a:ext uri="{FF2B5EF4-FFF2-40B4-BE49-F238E27FC236}">
                  <a16:creationId xmlns:a16="http://schemas.microsoft.com/office/drawing/2014/main" id="{F9AC49EA-B86C-A6AD-A47A-6D1B50429E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0400" y="546101"/>
              <a:ext cx="1828800" cy="161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1574800</xdr:colOff>
      <xdr:row>2</xdr:row>
      <xdr:rowOff>152401</xdr:rowOff>
    </xdr:from>
    <xdr:to>
      <xdr:col>20</xdr:col>
      <xdr:colOff>635000</xdr:colOff>
      <xdr:row>10</xdr:row>
      <xdr:rowOff>165101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Centro de custos 1">
              <a:extLst>
                <a:ext uri="{FF2B5EF4-FFF2-40B4-BE49-F238E27FC236}">
                  <a16:creationId xmlns:a16="http://schemas.microsoft.com/office/drawing/2014/main" id="{DEDD0EAF-E9ED-E482-C576-EB3ACC5A27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2100" y="558801"/>
              <a:ext cx="16306800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49713</xdr:colOff>
      <xdr:row>51</xdr:row>
      <xdr:rowOff>32172</xdr:rowOff>
    </xdr:from>
    <xdr:to>
      <xdr:col>30</xdr:col>
      <xdr:colOff>664754</xdr:colOff>
      <xdr:row>83</xdr:row>
      <xdr:rowOff>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26186</xdr:colOff>
      <xdr:row>4</xdr:row>
      <xdr:rowOff>183299</xdr:rowOff>
    </xdr:from>
    <xdr:to>
      <xdr:col>27</xdr:col>
      <xdr:colOff>13092</xdr:colOff>
      <xdr:row>11</xdr:row>
      <xdr:rowOff>26185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561967D5-B82F-5BED-07D8-401A465953F6}"/>
            </a:ext>
          </a:extLst>
        </xdr:cNvPr>
        <xdr:cNvSpPr/>
      </xdr:nvSpPr>
      <xdr:spPr>
        <a:xfrm>
          <a:off x="4372990" y="995052"/>
          <a:ext cx="8732886" cy="1296185"/>
        </a:xfrm>
        <a:prstGeom prst="rect">
          <a:avLst/>
        </a:prstGeom>
        <a:solidFill>
          <a:srgbClr val="2E415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157900</xdr:colOff>
      <xdr:row>5</xdr:row>
      <xdr:rowOff>115872</xdr:rowOff>
    </xdr:from>
    <xdr:to>
      <xdr:col>6</xdr:col>
      <xdr:colOff>353507</xdr:colOff>
      <xdr:row>10</xdr:row>
      <xdr:rowOff>78558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Empresa">
              <a:extLst>
                <a:ext uri="{FF2B5EF4-FFF2-40B4-BE49-F238E27FC236}">
                  <a16:creationId xmlns:a16="http://schemas.microsoft.com/office/drawing/2014/main" id="{995719DD-9F48-5890-55C4-B3A0DE92D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6825" y="1112754"/>
              <a:ext cx="1014962" cy="973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458249</xdr:colOff>
      <xdr:row>5</xdr:row>
      <xdr:rowOff>74761</xdr:rowOff>
    </xdr:from>
    <xdr:to>
      <xdr:col>19</xdr:col>
      <xdr:colOff>1072444</xdr:colOff>
      <xdr:row>10</xdr:row>
      <xdr:rowOff>130929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entro de custos">
              <a:extLst>
                <a:ext uri="{FF2B5EF4-FFF2-40B4-BE49-F238E27FC236}">
                  <a16:creationId xmlns:a16="http://schemas.microsoft.com/office/drawing/2014/main" id="{F2C5D9EE-946B-4214-E36E-8C85C64332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6529" y="1071643"/>
              <a:ext cx="11233748" cy="1066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</xdr:colOff>
      <xdr:row>9</xdr:row>
      <xdr:rowOff>0</xdr:rowOff>
    </xdr:from>
    <xdr:to>
      <xdr:col>15</xdr:col>
      <xdr:colOff>614680</xdr:colOff>
      <xdr:row>20</xdr:row>
      <xdr:rowOff>223520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F4A1EA-3CF6-0302-E85C-8C40FE8C4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gaioso/Documents/Gaioso/ANDALUZ/ESTRATE&#769;GICO/Estudos/RC/Fase%201/Valuation%20Fusa&#771;o.xlsx" TargetMode="External"/><Relationship Id="rId1" Type="http://schemas.openxmlformats.org/officeDocument/2006/relationships/externalLinkPath" Target="/Users/victorgaioso/Documents/Gaioso/ANDALUZ/ESTRATE&#769;GICO/Estudos/RC/Fase%201/Valuation%20Fusa&#771;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daluzinvestimentos-my.sharepoint.com/personal/augusto_andaluzinvestimentos_com_br/Documents/Servidor%20Andaluz/Apresentac&#807;a&#771;o%20MA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daluzinvestimentos-my.sharepoint.com/personal/augusto_andaluzinvestimentos_com_br/Documents/Servidor%20Andaluz/Arquivos%20Gerenciais/Financeiro/Rotina%20financeira%20.xlsx" TargetMode="External"/><Relationship Id="rId1" Type="http://schemas.openxmlformats.org/officeDocument/2006/relationships/externalLinkPath" Target="https://andaluzinvestimentos-my.sharepoint.com/personal/augusto_andaluzinvestimentos_com_br/Documents/Servidor%20Andaluz/Arquivos%20Gerenciais/Financeiro/Rotina%20financei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isk free asset"/>
      <sheetName val="WACC"/>
      <sheetName val="Betas"/>
      <sheetName val="Caixa"/>
      <sheetName val="Dívida"/>
      <sheetName val="Depreciação"/>
      <sheetName val="Capex"/>
      <sheetName val="Fee ind"/>
      <sheetName val="CS"/>
      <sheetName val="Reduções"/>
      <sheetName val="Receita A-1"/>
      <sheetName val="Receita A-2"/>
      <sheetName val="Receita RC "/>
      <sheetName val="Custos A-1"/>
      <sheetName val="Custos A-2"/>
      <sheetName val="Custos RC"/>
      <sheetName val="Despesas A-1"/>
      <sheetName val="Despesas A-2"/>
      <sheetName val="Despesas RC"/>
      <sheetName val="Premissas"/>
      <sheetName val="Deal"/>
      <sheetName val="DRE A-1"/>
      <sheetName val="DRE A-2"/>
      <sheetName val="DRE RC"/>
      <sheetName val="Fluxo de Caixa A-1"/>
      <sheetName val="Fluxo de Caixa A-2"/>
      <sheetName val="Fluxo de Caixa RC"/>
      <sheetName val="Custos A-3"/>
    </sheetNames>
    <sheetDataSet>
      <sheetData sheetId="0"/>
      <sheetData sheetId="1">
        <row r="10">
          <cell r="C10">
            <v>0.27562968511901942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C4">
            <v>2421954.2399999998</v>
          </cell>
        </row>
      </sheetData>
      <sheetData sheetId="11"/>
      <sheetData sheetId="12">
        <row r="4">
          <cell r="C4">
            <v>7917754.8000000007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17">
          <cell r="E17">
            <v>0.16800000000000001</v>
          </cell>
        </row>
      </sheetData>
      <sheetData sheetId="20"/>
      <sheetData sheetId="21"/>
      <sheetData sheetId="22"/>
      <sheetData sheetId="23"/>
      <sheetData sheetId="24">
        <row r="13">
          <cell r="D13">
            <v>0.05</v>
          </cell>
        </row>
        <row r="22">
          <cell r="D22">
            <v>0.22</v>
          </cell>
        </row>
      </sheetData>
      <sheetData sheetId="25"/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_Slides"/>
      <sheetName val="Auxiliar_Gráficos"/>
      <sheetName val="Apresentação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tina"/>
      <sheetName val="Contas Rotineiras "/>
      <sheetName val="Notas "/>
      <sheetName val="Salários YTD"/>
      <sheetName val="Pagamentos Salários "/>
      <sheetName val="Chaves Pix"/>
      <sheetName val="Pagamentos "/>
    </sheetNames>
    <sheetDataSet>
      <sheetData sheetId="0"/>
      <sheetData sheetId="1"/>
      <sheetData sheetId="2"/>
      <sheetData sheetId="3">
        <row r="7">
          <cell r="E7">
            <v>5140</v>
          </cell>
          <cell r="F7">
            <v>5140</v>
          </cell>
          <cell r="G7">
            <v>5140</v>
          </cell>
          <cell r="H7">
            <v>6180.329999999999</v>
          </cell>
          <cell r="I7">
            <v>5426.4</v>
          </cell>
          <cell r="J7">
            <v>5426.4</v>
          </cell>
          <cell r="K7">
            <v>5426.4</v>
          </cell>
          <cell r="L7">
            <v>5426.4</v>
          </cell>
          <cell r="M7">
            <v>5426.4</v>
          </cell>
          <cell r="N7">
            <v>5426.4</v>
          </cell>
          <cell r="O7">
            <v>5426.4</v>
          </cell>
          <cell r="P7">
            <v>5426.4</v>
          </cell>
        </row>
        <row r="8">
          <cell r="E8">
            <v>1093</v>
          </cell>
          <cell r="F8">
            <v>1093</v>
          </cell>
          <cell r="G8">
            <v>1093</v>
          </cell>
          <cell r="H8">
            <v>1513</v>
          </cell>
          <cell r="I8">
            <v>1093</v>
          </cell>
          <cell r="J8">
            <v>1093</v>
          </cell>
          <cell r="K8">
            <v>1093</v>
          </cell>
          <cell r="L8">
            <v>997.92000000000007</v>
          </cell>
          <cell r="M8">
            <v>1093</v>
          </cell>
          <cell r="N8">
            <v>1093</v>
          </cell>
          <cell r="O8">
            <v>1093</v>
          </cell>
          <cell r="P8">
            <v>1093</v>
          </cell>
        </row>
        <row r="9">
          <cell r="I9">
            <v>0</v>
          </cell>
        </row>
        <row r="10">
          <cell r="E10">
            <v>29.7</v>
          </cell>
          <cell r="F10">
            <v>29.7</v>
          </cell>
          <cell r="G10">
            <v>29.7</v>
          </cell>
          <cell r="H10">
            <v>29.7</v>
          </cell>
          <cell r="I10">
            <v>29.7</v>
          </cell>
          <cell r="J10">
            <v>29.7</v>
          </cell>
          <cell r="K10">
            <v>29.7</v>
          </cell>
          <cell r="L10">
            <v>29.7</v>
          </cell>
          <cell r="M10">
            <v>29.7</v>
          </cell>
          <cell r="N10">
            <v>29.7</v>
          </cell>
          <cell r="O10">
            <v>29.7</v>
          </cell>
          <cell r="P10">
            <v>29.7</v>
          </cell>
        </row>
        <row r="11">
          <cell r="H11">
            <v>314.12</v>
          </cell>
          <cell r="I11">
            <v>314.12</v>
          </cell>
          <cell r="J11">
            <v>314.12</v>
          </cell>
          <cell r="K11">
            <v>314.12</v>
          </cell>
          <cell r="L11">
            <v>314.12</v>
          </cell>
          <cell r="M11">
            <v>314.12</v>
          </cell>
          <cell r="N11">
            <v>314.12</v>
          </cell>
          <cell r="O11">
            <v>314.12</v>
          </cell>
          <cell r="P11">
            <v>314.12</v>
          </cell>
        </row>
        <row r="12">
          <cell r="F12">
            <v>3486.04</v>
          </cell>
          <cell r="K12">
            <v>3500</v>
          </cell>
        </row>
        <row r="13">
          <cell r="O13">
            <v>2625</v>
          </cell>
          <cell r="P13">
            <v>2625</v>
          </cell>
        </row>
        <row r="15">
          <cell r="E15">
            <v>2200</v>
          </cell>
          <cell r="F15">
            <v>2200</v>
          </cell>
          <cell r="G15">
            <v>2200</v>
          </cell>
          <cell r="H15">
            <v>2640</v>
          </cell>
          <cell r="I15">
            <v>2310</v>
          </cell>
          <cell r="J15">
            <v>2310</v>
          </cell>
          <cell r="K15">
            <v>2310</v>
          </cell>
          <cell r="M15">
            <v>2310</v>
          </cell>
          <cell r="N15">
            <v>2310</v>
          </cell>
          <cell r="O15">
            <v>2310</v>
          </cell>
          <cell r="P15">
            <v>2310</v>
          </cell>
        </row>
        <row r="16">
          <cell r="E16">
            <v>766.5</v>
          </cell>
          <cell r="F16">
            <v>700.8</v>
          </cell>
          <cell r="G16">
            <v>810.3</v>
          </cell>
          <cell r="H16">
            <v>737.3</v>
          </cell>
          <cell r="I16">
            <v>1094.3</v>
          </cell>
          <cell r="J16">
            <v>847.3</v>
          </cell>
          <cell r="K16">
            <v>920</v>
          </cell>
          <cell r="L16">
            <v>840</v>
          </cell>
          <cell r="M16">
            <v>847.3</v>
          </cell>
          <cell r="N16">
            <v>847.3</v>
          </cell>
          <cell r="O16">
            <v>847.3</v>
          </cell>
          <cell r="P16">
            <v>847.3</v>
          </cell>
        </row>
        <row r="17">
          <cell r="E17">
            <v>231</v>
          </cell>
          <cell r="F17">
            <v>242</v>
          </cell>
          <cell r="G17">
            <v>220</v>
          </cell>
          <cell r="H17">
            <v>220</v>
          </cell>
          <cell r="I17">
            <v>220</v>
          </cell>
          <cell r="J17">
            <v>231</v>
          </cell>
          <cell r="K17">
            <v>231</v>
          </cell>
          <cell r="L17">
            <v>231</v>
          </cell>
          <cell r="M17">
            <v>231</v>
          </cell>
          <cell r="N17">
            <v>231</v>
          </cell>
          <cell r="O17">
            <v>231</v>
          </cell>
          <cell r="P17">
            <v>231</v>
          </cell>
        </row>
        <row r="18">
          <cell r="E18">
            <v>148.5</v>
          </cell>
          <cell r="F18">
            <v>148.5</v>
          </cell>
          <cell r="G18">
            <v>148.5</v>
          </cell>
          <cell r="H18">
            <v>148.5</v>
          </cell>
          <cell r="I18">
            <v>148.5</v>
          </cell>
          <cell r="J18">
            <v>148.5</v>
          </cell>
          <cell r="K18">
            <v>148.5</v>
          </cell>
          <cell r="L18">
            <v>148.5</v>
          </cell>
          <cell r="M18">
            <v>148.5</v>
          </cell>
          <cell r="N18">
            <v>148.5</v>
          </cell>
          <cell r="O18">
            <v>148.5</v>
          </cell>
          <cell r="P18">
            <v>148.5</v>
          </cell>
        </row>
        <row r="20">
          <cell r="E20">
            <v>829.69</v>
          </cell>
          <cell r="F20">
            <v>698.71</v>
          </cell>
          <cell r="G20">
            <v>1149.52</v>
          </cell>
          <cell r="H20">
            <v>1095.1600000000001</v>
          </cell>
          <cell r="I20">
            <v>1095.1600000000001</v>
          </cell>
          <cell r="J20">
            <v>1719.94</v>
          </cell>
        </row>
        <row r="22">
          <cell r="O22">
            <v>1700</v>
          </cell>
          <cell r="P22">
            <v>1700</v>
          </cell>
        </row>
        <row r="24">
          <cell r="E24">
            <v>3200</v>
          </cell>
          <cell r="F24">
            <v>3200</v>
          </cell>
          <cell r="G24">
            <v>3200</v>
          </cell>
          <cell r="H24">
            <v>3680</v>
          </cell>
          <cell r="I24">
            <v>3360</v>
          </cell>
          <cell r="J24">
            <v>3389.4</v>
          </cell>
          <cell r="K24">
            <v>4815.58</v>
          </cell>
        </row>
        <row r="25">
          <cell r="E25">
            <v>766.5</v>
          </cell>
          <cell r="F25">
            <v>700.8</v>
          </cell>
          <cell r="G25">
            <v>810.3</v>
          </cell>
          <cell r="H25">
            <v>737.3</v>
          </cell>
          <cell r="I25">
            <v>1094.3</v>
          </cell>
          <cell r="J25">
            <v>847.3</v>
          </cell>
        </row>
        <row r="26">
          <cell r="E26">
            <v>231</v>
          </cell>
          <cell r="F26">
            <v>242</v>
          </cell>
          <cell r="G26">
            <v>220</v>
          </cell>
          <cell r="H26">
            <v>220</v>
          </cell>
          <cell r="I26">
            <v>220</v>
          </cell>
          <cell r="J26">
            <v>231</v>
          </cell>
        </row>
        <row r="27">
          <cell r="E27">
            <v>89.1</v>
          </cell>
          <cell r="F27">
            <v>89.1</v>
          </cell>
          <cell r="G27">
            <v>89.1</v>
          </cell>
          <cell r="H27">
            <v>89.1</v>
          </cell>
          <cell r="I27">
            <v>89.1</v>
          </cell>
          <cell r="J27">
            <v>89.1</v>
          </cell>
        </row>
        <row r="32">
          <cell r="E32">
            <v>2000</v>
          </cell>
          <cell r="F32">
            <v>2000</v>
          </cell>
          <cell r="G32">
            <v>2000</v>
          </cell>
          <cell r="H32">
            <v>709.68</v>
          </cell>
          <cell r="I32">
            <v>2100</v>
          </cell>
          <cell r="J32">
            <v>2129.4</v>
          </cell>
          <cell r="K32">
            <v>2129.4</v>
          </cell>
          <cell r="L32">
            <v>2129.4</v>
          </cell>
          <cell r="M32">
            <v>2129.4</v>
          </cell>
          <cell r="N32">
            <v>2129.4</v>
          </cell>
          <cell r="O32">
            <v>2129.4</v>
          </cell>
          <cell r="P32">
            <v>2129.4</v>
          </cell>
        </row>
        <row r="33">
          <cell r="E33">
            <v>766.5</v>
          </cell>
          <cell r="F33">
            <v>693.5</v>
          </cell>
          <cell r="G33">
            <v>803</v>
          </cell>
          <cell r="H33">
            <v>730</v>
          </cell>
          <cell r="I33">
            <v>1087</v>
          </cell>
          <cell r="J33">
            <v>840</v>
          </cell>
          <cell r="K33">
            <v>920</v>
          </cell>
          <cell r="L33">
            <v>840</v>
          </cell>
          <cell r="M33">
            <v>920</v>
          </cell>
          <cell r="N33">
            <v>920</v>
          </cell>
          <cell r="O33">
            <v>920</v>
          </cell>
          <cell r="P33">
            <v>920</v>
          </cell>
        </row>
        <row r="34">
          <cell r="E34">
            <v>231</v>
          </cell>
          <cell r="F34">
            <v>242</v>
          </cell>
          <cell r="G34">
            <v>220</v>
          </cell>
          <cell r="H34">
            <v>220</v>
          </cell>
          <cell r="I34">
            <v>220</v>
          </cell>
          <cell r="J34">
            <v>231</v>
          </cell>
          <cell r="K34">
            <v>253</v>
          </cell>
          <cell r="L34">
            <v>231</v>
          </cell>
          <cell r="M34">
            <v>231</v>
          </cell>
          <cell r="N34">
            <v>231</v>
          </cell>
          <cell r="O34">
            <v>231</v>
          </cell>
          <cell r="P34">
            <v>231</v>
          </cell>
        </row>
        <row r="35">
          <cell r="E35">
            <v>29.7</v>
          </cell>
          <cell r="F35">
            <v>29.7</v>
          </cell>
          <cell r="G35">
            <v>29.7</v>
          </cell>
          <cell r="H35">
            <v>29.7</v>
          </cell>
          <cell r="I35">
            <v>29.7</v>
          </cell>
          <cell r="J35">
            <v>29.7</v>
          </cell>
          <cell r="K35">
            <v>29.7</v>
          </cell>
          <cell r="L35">
            <v>29.7</v>
          </cell>
          <cell r="M35">
            <v>29.7</v>
          </cell>
          <cell r="N35">
            <v>29.7</v>
          </cell>
          <cell r="O35">
            <v>29.7</v>
          </cell>
          <cell r="P35">
            <v>29.7</v>
          </cell>
        </row>
        <row r="37">
          <cell r="F37">
            <v>2580.7399999999998</v>
          </cell>
        </row>
        <row r="38">
          <cell r="O38">
            <v>1050</v>
          </cell>
          <cell r="P38">
            <v>1050</v>
          </cell>
        </row>
        <row r="40">
          <cell r="E40">
            <v>1621</v>
          </cell>
          <cell r="F40">
            <v>1621</v>
          </cell>
          <cell r="G40">
            <v>1621</v>
          </cell>
          <cell r="H40">
            <v>1945.2</v>
          </cell>
          <cell r="I40">
            <v>1702.05</v>
          </cell>
          <cell r="J40">
            <v>1702.05</v>
          </cell>
          <cell r="K40">
            <v>1702.05</v>
          </cell>
          <cell r="L40">
            <v>1702.05</v>
          </cell>
          <cell r="M40">
            <v>1702.05</v>
          </cell>
          <cell r="N40">
            <v>1702.05</v>
          </cell>
          <cell r="O40">
            <v>1702.05</v>
          </cell>
          <cell r="P40">
            <v>1702.05</v>
          </cell>
        </row>
        <row r="41">
          <cell r="E41">
            <v>766.5</v>
          </cell>
          <cell r="F41">
            <v>693.5</v>
          </cell>
          <cell r="G41">
            <v>803</v>
          </cell>
          <cell r="H41">
            <v>730</v>
          </cell>
          <cell r="I41">
            <v>1087</v>
          </cell>
          <cell r="J41">
            <v>840</v>
          </cell>
          <cell r="K41">
            <v>920</v>
          </cell>
          <cell r="L41">
            <v>840</v>
          </cell>
          <cell r="M41">
            <v>920</v>
          </cell>
          <cell r="N41">
            <v>920</v>
          </cell>
          <cell r="O41">
            <v>920</v>
          </cell>
          <cell r="P41">
            <v>920</v>
          </cell>
        </row>
        <row r="42">
          <cell r="E42">
            <v>231</v>
          </cell>
          <cell r="F42">
            <v>242</v>
          </cell>
          <cell r="G42">
            <v>220</v>
          </cell>
          <cell r="H42">
            <v>220</v>
          </cell>
          <cell r="I42">
            <v>220</v>
          </cell>
          <cell r="J42">
            <v>231</v>
          </cell>
          <cell r="K42">
            <v>253</v>
          </cell>
          <cell r="L42">
            <v>231</v>
          </cell>
          <cell r="M42">
            <v>231</v>
          </cell>
          <cell r="N42">
            <v>231</v>
          </cell>
          <cell r="O42">
            <v>231</v>
          </cell>
          <cell r="P42">
            <v>231</v>
          </cell>
        </row>
        <row r="43">
          <cell r="E43">
            <v>29.7</v>
          </cell>
          <cell r="F43">
            <v>29.7</v>
          </cell>
          <cell r="G43">
            <v>29.7</v>
          </cell>
          <cell r="H43">
            <v>29.7</v>
          </cell>
          <cell r="I43">
            <v>29.7</v>
          </cell>
          <cell r="J43">
            <v>29.7</v>
          </cell>
          <cell r="K43">
            <v>29.7</v>
          </cell>
          <cell r="L43">
            <v>29.7</v>
          </cell>
          <cell r="M43">
            <v>29.7</v>
          </cell>
          <cell r="N43">
            <v>29.7</v>
          </cell>
          <cell r="O43">
            <v>29.7</v>
          </cell>
          <cell r="P43">
            <v>29.7</v>
          </cell>
        </row>
        <row r="45">
          <cell r="E45">
            <v>739.23</v>
          </cell>
          <cell r="F45">
            <v>315</v>
          </cell>
          <cell r="G45">
            <v>775</v>
          </cell>
          <cell r="H45">
            <v>150</v>
          </cell>
          <cell r="I45" t="str">
            <v>-</v>
          </cell>
        </row>
        <row r="47">
          <cell r="O47">
            <v>900</v>
          </cell>
          <cell r="P47">
            <v>900</v>
          </cell>
        </row>
        <row r="50">
          <cell r="E50">
            <v>822.58</v>
          </cell>
          <cell r="F50">
            <v>1500</v>
          </cell>
          <cell r="G50">
            <v>1500</v>
          </cell>
          <cell r="H50">
            <v>1500</v>
          </cell>
          <cell r="I50">
            <v>1500</v>
          </cell>
          <cell r="J50">
            <v>1500</v>
          </cell>
          <cell r="K50">
            <v>1500</v>
          </cell>
          <cell r="L50">
            <v>1500</v>
          </cell>
        </row>
        <row r="51">
          <cell r="E51">
            <v>99</v>
          </cell>
          <cell r="F51">
            <v>187</v>
          </cell>
          <cell r="G51">
            <v>220</v>
          </cell>
          <cell r="H51">
            <v>220</v>
          </cell>
          <cell r="I51">
            <v>220</v>
          </cell>
          <cell r="J51">
            <v>231</v>
          </cell>
          <cell r="K51">
            <v>253</v>
          </cell>
          <cell r="L51">
            <v>231</v>
          </cell>
        </row>
        <row r="55">
          <cell r="E55">
            <v>822.58</v>
          </cell>
          <cell r="F55">
            <v>1500</v>
          </cell>
          <cell r="G55">
            <v>1500</v>
          </cell>
          <cell r="H55">
            <v>1500</v>
          </cell>
          <cell r="I55">
            <v>1500</v>
          </cell>
          <cell r="J55">
            <v>1500</v>
          </cell>
          <cell r="K55">
            <v>1500</v>
          </cell>
          <cell r="L55">
            <v>1500</v>
          </cell>
        </row>
        <row r="56">
          <cell r="E56">
            <v>99</v>
          </cell>
          <cell r="F56">
            <v>187</v>
          </cell>
          <cell r="G56">
            <v>220</v>
          </cell>
          <cell r="H56">
            <v>220</v>
          </cell>
          <cell r="I56">
            <v>220</v>
          </cell>
          <cell r="J56">
            <v>231</v>
          </cell>
          <cell r="K56">
            <v>253</v>
          </cell>
          <cell r="L56">
            <v>231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INANCEIRO ANDALUZ" id="{28347634-AD94-3643-97B7-29FA76AA2EA0}" userId="S::financeiro@andaluzinvestimentos.com.br::3ff4f15c-7a69-4839-a858-435b19aba3bf" providerId="AD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1" xr10:uid="{830394A2-E755-FF4F-9463-F80288C99BF6}" sourceName="Empresa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s1" xr10:uid="{87E30C4E-C1A0-7046-BC53-F2204452A154}" sourceName="Centro de custos">
  <extLst>
    <x:ext xmlns:x15="http://schemas.microsoft.com/office/spreadsheetml/2010/11/main" uri="{2F2917AC-EB37-4324-AD4E-5DD8C200BD13}">
      <x15:tableSlicerCache tableId="6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2" xr10:uid="{765F9382-A7E4-9845-B748-3D2FF94E428D}" sourceName="Empres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s2" xr10:uid="{8CBDD7DE-455C-EF42-A268-8636CA04025D}" sourceName="Centro de custos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EFB33E85-BAEC-B34B-99C1-F6B1DBC607C0}" cache="SegmentaçãodeDados_Empresa2" caption="Empresa" style="Andlz" rowHeight="230716"/>
  <slicer name="Centro de custos 1" xr10:uid="{D231C339-2675-BC41-B82B-4CBEE924B8CF}" cache="SegmentaçãodeDados_Centro_de_custos2" caption="Centro de custos" columnCount="6" style="Andlz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" xr10:uid="{E41C6198-A147-5742-85BB-0F612744B3B2}" cache="SegmentaçãodeDados_Empresa1" caption="Empresa" rowHeight="230716"/>
  <slicer name="Centro de custos" xr10:uid="{FB218A19-7BD6-8645-8895-5E201E24FE4A}" cache="SegmentaçãodeDados_Centro_de_custos1" caption="Centro de custos" columnCount="10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e1" displayName="Table1" ref="A3:E87" totalsRowShown="0">
  <autoFilter ref="A3:E87" xr:uid="{00000000-0009-0000-0100-000007000000}"/>
  <tableColumns count="5">
    <tableColumn id="1" xr3:uid="{00000000-0010-0000-0000-000001000000}" name="Date - Ano"/>
    <tableColumn id="2" xr3:uid="{00000000-0010-0000-0000-000002000000}" name="Date - Mês"/>
    <tableColumn id="3" xr3:uid="{00000000-0010-0000-0000-000003000000}" name="soma patrimonio por data"/>
    <tableColumn id="4" xr3:uid="{00000000-0010-0000-0000-000004000000}" name="Coluna1"/>
    <tableColumn id="5" xr3:uid="{00000000-0010-0000-0000-000005000000}" name="Coluna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a5" displayName="Tabela5" ref="Y29:AA54" totalsRowCount="1">
  <autoFilter ref="Y29:AA53" xr:uid="{00000000-0009-0000-0100-000003000000}"/>
  <sortState xmlns:xlrd2="http://schemas.microsoft.com/office/spreadsheetml/2017/richdata2" ref="Y30:AA53">
    <sortCondition descending="1" ref="AA29:AA53"/>
  </sortState>
  <tableColumns count="3">
    <tableColumn id="1" xr3:uid="{00000000-0010-0000-0300-000001000000}" name="Centro de custo" totalsRowLabel="Total" dataDxfId="149" totalsRowDxfId="2"/>
    <tableColumn id="2" xr3:uid="{00000000-0010-0000-0300-000002000000}" name="%" totalsRowFunction="sum" totalsRowDxfId="1">
      <calculatedColumnFormula>Tabela5[[#This Row],[R$]]/Tabela5[[#Totals],[R$]]</calculatedColumnFormula>
    </tableColumn>
    <tableColumn id="3" xr3:uid="{00000000-0010-0000-0300-000003000000}" name="R$" totalsRowFunction="sum" totalsRowDxfId="0">
      <calculatedColumnFormula>SUMIF($G$15:$G$155,Y30,$J$15:$J$155)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6E5ED-2028-2046-AC78-6083600E5E1F}" name="Tabela1" displayName="Tabela1" ref="F14:W144" totalsRowCount="1" headerRowDxfId="46" dataDxfId="47" totalsRowDxfId="45">
  <autoFilter ref="F14:W143" xr:uid="{3026E5ED-2028-2046-AC78-6083600E5E1F}"/>
  <sortState xmlns:xlrd2="http://schemas.microsoft.com/office/spreadsheetml/2017/richdata2" ref="F15:W143">
    <sortCondition ref="F14:F143"/>
  </sortState>
  <tableColumns count="18">
    <tableColumn id="1" xr3:uid="{A90444AA-06AC-C344-9887-2F3C347354E2}" name="Empresa" totalsRowLabel="Total" dataDxfId="65" totalsRowDxfId="20"/>
    <tableColumn id="2" xr3:uid="{7AA6054B-FE8A-A642-8C45-F1C4C5D80390}" name="Centro de custos" dataDxfId="64" totalsRowDxfId="19"/>
    <tableColumn id="3" xr3:uid="{0DB98E4B-C1C1-634F-B677-3662CAE92311}" name="Categoria" dataDxfId="63" totalsRowDxfId="18"/>
    <tableColumn id="4" xr3:uid="{AD7FE374-A89B-2343-A69D-F8A5C60CF9EB}" name="consultor" dataDxfId="62" totalsRowDxfId="17"/>
    <tableColumn id="5" xr3:uid="{7C850D73-EBE7-DE4F-AF8D-9E37A45E0BD1}" name="Coluna1" totalsRowFunction="sum" dataDxfId="61" totalsRowDxfId="16">
      <calculatedColumnFormula>SUM(Tabela1[[#This Row],[jan./26]:[dez./26]])</calculatedColumnFormula>
    </tableColumn>
    <tableColumn id="6" xr3:uid="{08CBF52B-DE88-2644-93B2-FA51338568A0}" name="100%" dataDxfId="60" totalsRowDxfId="15">
      <calculatedColumnFormula>Tabela1[[#This Row],[Coluna1]]/Tabela1[[#Totals],[Coluna1]]</calculatedColumnFormula>
    </tableColumn>
    <tableColumn id="7" xr3:uid="{D82D0088-533D-D344-9FD2-7CCE8199E683}" name="jan./26" totalsRowFunction="sum" dataDxfId="59" totalsRowDxfId="14"/>
    <tableColumn id="8" xr3:uid="{523B33C2-949F-FB44-BBA9-628224A04291}" name="fev./26" totalsRowFunction="sum" dataDxfId="58" totalsRowDxfId="13"/>
    <tableColumn id="9" xr3:uid="{F2CCB802-AA63-7145-AB44-D7E779116EA1}" name="mar./26" totalsRowFunction="sum" dataDxfId="57" totalsRowDxfId="12"/>
    <tableColumn id="10" xr3:uid="{815F136B-3BB5-D146-865C-4383E99DD86C}" name="abr./26" totalsRowFunction="sum" dataDxfId="56" totalsRowDxfId="11"/>
    <tableColumn id="11" xr3:uid="{63A1330F-47C5-3340-9C5A-DD1DEC4762BB}" name="mai./26" totalsRowFunction="sum" dataDxfId="55" totalsRowDxfId="10"/>
    <tableColumn id="12" xr3:uid="{413CC846-16C8-DC44-A2BD-01AD701FCFA6}" name="jun./26" totalsRowFunction="sum" dataDxfId="54" totalsRowDxfId="9"/>
    <tableColumn id="13" xr3:uid="{82D684E8-F055-6F4B-AD14-E04B80BCB06E}" name="jul./26" totalsRowFunction="sum" dataDxfId="53" totalsRowDxfId="8"/>
    <tableColumn id="14" xr3:uid="{2DA1E280-E926-BB4E-A278-F52CC4ADFD99}" name="ago./26" totalsRowFunction="sum" dataDxfId="52" totalsRowDxfId="7"/>
    <tableColumn id="15" xr3:uid="{9EC1B95D-E765-DC41-BB6D-C6ECCBE8647D}" name="set./26" totalsRowFunction="sum" dataDxfId="51" totalsRowDxfId="6"/>
    <tableColumn id="16" xr3:uid="{F9A20113-7290-724C-9850-CA7BD2F23E06}" name="out./26" totalsRowFunction="sum" dataDxfId="50" totalsRowDxfId="5"/>
    <tableColumn id="17" xr3:uid="{095A3A89-4500-2E48-8AC0-676E13F550F6}" name="nov./26" totalsRowFunction="sum" dataDxfId="49" totalsRowDxfId="4"/>
    <tableColumn id="18" xr3:uid="{036F084F-09A2-7542-BF3C-5A761CCD823E}" name="dez./26" totalsRowFunction="sum" dataDxfId="48" totalsRow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ela4" displayName="Tabela4" ref="AC14:AE35" totalsRowCount="1">
  <autoFilter ref="AC14:AE34" xr:uid="{00000000-0009-0000-0100-000002000000}"/>
  <sortState xmlns:xlrd2="http://schemas.microsoft.com/office/spreadsheetml/2017/richdata2" ref="AC15:AE34">
    <sortCondition ref="AE14:AE34"/>
  </sortState>
  <tableColumns count="3">
    <tableColumn id="1" xr3:uid="{00000000-0010-0000-0400-000001000000}" name="Centro de Custos" totalsRowLabel="Total" totalsRowDxfId="148"/>
    <tableColumn id="2" xr3:uid="{00000000-0010-0000-0400-000002000000}" name="%" totalsRowFunction="sum" totalsRowDxfId="147"/>
    <tableColumn id="3" xr3:uid="{00000000-0010-0000-0400-000003000000}" name="Valor" totalsRowFunction="sum" totalsRowDxfId="14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ela8" displayName="Tabela8" ref="F14:AA133" totalsRowCount="1" totalsRowDxfId="145">
  <autoFilter ref="F14:AA132" xr:uid="{00000000-0009-0000-0100-000006000000}">
    <filterColumn colId="0">
      <filters>
        <filter val="Consultoria"/>
      </filters>
    </filterColumn>
  </autoFilter>
  <sortState xmlns:xlrd2="http://schemas.microsoft.com/office/spreadsheetml/2017/richdata2" ref="F15:AA132">
    <sortCondition descending="1" ref="V14:V132"/>
  </sortState>
  <tableColumns count="22">
    <tableColumn id="1" xr3:uid="{00000000-0010-0000-0600-000001000000}" name="Empresa" totalsRowLabel="Total" totalsRowDxfId="144"/>
    <tableColumn id="2" xr3:uid="{00000000-0010-0000-0600-000002000000}" name="Centro de custos" totalsRowDxfId="143"/>
    <tableColumn id="3" xr3:uid="{00000000-0010-0000-0600-000003000000}" name="Categoria" totalsRowDxfId="142"/>
    <tableColumn id="10" xr3:uid="{BAA97004-D35C-B34D-A848-E2E809C9E0A1}" name="Destino" dataDxfId="141" totalsRowDxfId="140"/>
    <tableColumn id="11" xr3:uid="{5748DA56-ED3D-2142-9256-492A8D49FC84}" name="Natureza" dataDxfId="139" totalsRowDxfId="138"/>
    <tableColumn id="12" xr3:uid="{1F8C8E0B-7B4F-2F41-BD3E-B6207E1597C0}" name="Utilidade" dataDxfId="137" totalsRowDxfId="136"/>
    <tableColumn id="13" xr3:uid="{358B4DBE-BA25-2741-99DA-246AD9CDB40D}" name="Obs" dataDxfId="135" totalsRowDxfId="134"/>
    <tableColumn id="14" xr3:uid="{79081247-EB07-1E4D-9E8A-72F1A825AC8A}" name="Média" totalsRowFunction="sum" dataDxfId="133" totalsRowDxfId="132">
      <calculatedColumnFormula>AVERAGE(Tabela8[[#This Row],[jan./26]:[dez/26]])</calculatedColumnFormula>
    </tableColumn>
    <tableColumn id="4" xr3:uid="{00000000-0010-0000-0600-000004000000}" name="YTD" totalsRowFunction="sum" totalsRowDxfId="131">
      <calculatedColumnFormula>SUM(Tabela8[[#This Row],[jan./26]:[dez/26]])</calculatedColumnFormula>
    </tableColumn>
    <tableColumn id="5" xr3:uid="{00000000-0010-0000-0600-000005000000}" name="100%" totalsRowFunction="sum" totalsRowDxfId="130"/>
    <tableColumn id="6" xr3:uid="{00000000-0010-0000-0600-000006000000}" name="jan./26" totalsRowFunction="sum" dataDxfId="129" totalsRowDxfId="128"/>
    <tableColumn id="7" xr3:uid="{00000000-0010-0000-0600-000007000000}" name="fev./26" totalsRowFunction="sum" dataDxfId="127" totalsRowDxfId="126"/>
    <tableColumn id="8" xr3:uid="{00000000-0010-0000-0600-000008000000}" name="mar./26" totalsRowFunction="sum" dataDxfId="125" totalsRowDxfId="124"/>
    <tableColumn id="9" xr3:uid="{00000000-0010-0000-0600-000009000000}" name="abr./26" totalsRowFunction="sum" dataDxfId="123" totalsRowDxfId="122"/>
    <tableColumn id="15" xr3:uid="{FDDCA405-118D-9449-BDBF-9C7C40F72DBF}" name="mai/26" totalsRowFunction="sum" dataDxfId="121" totalsRowDxfId="120"/>
    <tableColumn id="16" xr3:uid="{C69C506A-D73A-2E44-ADE6-2EE1608757E1}" name="jun/26" totalsRowFunction="sum" dataDxfId="119" totalsRowDxfId="118"/>
    <tableColumn id="17" xr3:uid="{05171C8F-D6BD-0C42-A401-40D79BAD4862}" name="jul/26" totalsRowFunction="sum" dataDxfId="117" totalsRowDxfId="116"/>
    <tableColumn id="18" xr3:uid="{9E9ED4AB-2B85-EA48-9DF5-E55BB0C5C446}" name="ago/26" totalsRowFunction="sum" dataDxfId="115" totalsRowDxfId="114"/>
    <tableColumn id="19" xr3:uid="{3C6323D0-3831-2448-AD29-AAE75A232848}" name="set/26" totalsRowFunction="sum" dataDxfId="113" totalsRowDxfId="112"/>
    <tableColumn id="20" xr3:uid="{D47B3FDF-016A-6844-A033-C6CF5E813821}" name="out/26" totalsRowFunction="sum" dataDxfId="111" totalsRowDxfId="110"/>
    <tableColumn id="21" xr3:uid="{376ACAF0-01C1-1944-9D9E-8A1C18A42F02}" name="nov/26" totalsRowFunction="sum" dataDxfId="109" totalsRowDxfId="108"/>
    <tableColumn id="22" xr3:uid="{1EE0E33D-8669-9940-985C-20ED056693D8}" name="dez/26" totalsRowFunction="sum" dataDxfId="107" totalsRowDxfId="106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A3A1B2-3AD2-324A-8343-8748FCA245E5}" name="Tabela9" displayName="Tabela9" ref="AC38:AD49" totalsRowCount="1" headerRowDxfId="105">
  <autoFilter ref="AC38:AD48" xr:uid="{56A3A1B2-3AD2-324A-8343-8748FCA245E5}"/>
  <tableColumns count="2">
    <tableColumn id="1" xr3:uid="{A61FCBEA-BBD2-8146-BD90-DA89F078B5FF}" name="Consultor" totalsRowLabel="Total" dataDxfId="104" totalsRowDxfId="103"/>
    <tableColumn id="2" xr3:uid="{700CB55E-A07A-1646-B9AA-D97A9EE764D9}" name="Total" totalsRowFunction="sum" dataDxfId="102" totalsRowDxfId="101">
      <calculatedColumnFormula>SUMIF(Tabela8[Destino],Tabela9[[#This Row],[Consultor]],Tabela8[YTD])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B670A0-F49C-DA4B-81BB-5DD1E6B518A9}" name="Tabela10" displayName="Tabela10" ref="AG14:AJ34" totalsRowCount="1" headerRowDxfId="100" dataDxfId="99">
  <autoFilter ref="AG14:AJ33" xr:uid="{6CB670A0-F49C-DA4B-81BB-5DD1E6B518A9}"/>
  <sortState xmlns:xlrd2="http://schemas.microsoft.com/office/spreadsheetml/2017/richdata2" ref="AG15:AJ33">
    <sortCondition descending="1" ref="AI14:AI33"/>
  </sortState>
  <tableColumns count="4">
    <tableColumn id="1" xr3:uid="{EE1880B1-4338-BD40-9AF2-A218F3AB3EE5}" name="Destino" totalsRowLabel="Total" dataDxfId="98" totalsRowDxfId="97"/>
    <tableColumn id="2" xr3:uid="{3379F72A-B2CA-4F4A-89F5-21BA29A71D19}" name="R$" totalsRowFunction="sum" dataDxfId="96" totalsRowDxfId="95">
      <calculatedColumnFormula>SUMIF(Tabela8[Destino],Tabela10[[#This Row],[Destino]],Tabela8[YTD])</calculatedColumnFormula>
    </tableColumn>
    <tableColumn id="4" xr3:uid="{8CE33079-5ADD-0947-86CD-7B1800C9E6EA}" name="Coluna1" totalsRowFunction="sum" dataDxfId="94" totalsRowDxfId="93">
      <calculatedColumnFormula>Tabela10[[#This Row],[R$]]/6</calculatedColumnFormula>
    </tableColumn>
    <tableColumn id="3" xr3:uid="{978E1586-9A15-0542-A0A8-B3B95763380A}" name="%" dataDxfId="92" totalsRowDxfId="91" dataCellStyle="Porcentagem" totalsRowCellStyle="Porcentagem">
      <calculatedColumnFormula>Tabela10[[#This Row],[R$]]/Tabela10[[#Totals],[R$]]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1D956F-F518-C445-920F-073B042398A2}" name="Tabela11" displayName="Tabela11" ref="AL14:AO20" totalsRowCount="1" headerRowDxfId="90" dataDxfId="89">
  <autoFilter ref="AL14:AO19" xr:uid="{1C1D956F-F518-C445-920F-073B042398A2}"/>
  <tableColumns count="4">
    <tableColumn id="1" xr3:uid="{26F479D7-9348-D944-8762-F8EED16FBF95}" name="Natureza" totalsRowLabel="Total" dataDxfId="88" totalsRowDxfId="87"/>
    <tableColumn id="2" xr3:uid="{BA1F7373-0DFB-8E44-A34D-4C8DB653C8A5}" name="R$" totalsRowFunction="sum" dataDxfId="86" totalsRowDxfId="85">
      <calculatedColumnFormula>SUMIF(Tabela8[Natureza],Tabela11[[#This Row],[Natureza]],Tabela8[YTD])</calculatedColumnFormula>
    </tableColumn>
    <tableColumn id="4" xr3:uid="{D40E5632-C648-BC41-B8EB-5F4ECF6E8EE4}" name="/6" totalsRowFunction="sum" dataDxfId="84" totalsRowDxfId="83">
      <calculatedColumnFormula>Tabela11[[#This Row],[R$]]/6</calculatedColumnFormula>
    </tableColumn>
    <tableColumn id="3" xr3:uid="{4354E7FD-81CA-7242-A391-C99FCBAABFB5}" name="%" dataDxfId="82" totalsRowDxfId="81" dataCellStyle="Porcentagem">
      <calculatedColumnFormula>Tabela11[[#This Row],[R$]]/Tabela11[[#Totals],[R$]]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E63430-37FC-4C43-9393-246F4A2208D6}" name="Tabela12" displayName="Tabela12" ref="AL26:AO34" totalsRowCount="1" headerRowDxfId="80" dataDxfId="79">
  <autoFilter ref="AL26:AO33" xr:uid="{B1E63430-37FC-4C43-9393-246F4A2208D6}"/>
  <tableColumns count="4">
    <tableColumn id="1" xr3:uid="{34DA6249-C349-024A-9110-04604D3EDACE}" name="Utilidade" totalsRowLabel="Total" dataDxfId="78" totalsRowDxfId="77"/>
    <tableColumn id="2" xr3:uid="{7AC05CA7-881C-7044-BA95-EC7091EC887E}" name="R$" totalsRowFunction="sum" dataDxfId="76" totalsRowDxfId="75">
      <calculatedColumnFormula>SUMIF(Tabela8[Utilidade],Tabela12[[#This Row],[Utilidade]],Tabela8[YTD])</calculatedColumnFormula>
    </tableColumn>
    <tableColumn id="5" xr3:uid="{36BEA06B-0562-1549-80D3-A17AA3418FA8}" name="/6" totalsRowFunction="sum" dataDxfId="74" totalsRowDxfId="73">
      <calculatedColumnFormula>Tabela12[[#This Row],[R$]]/6</calculatedColumnFormula>
    </tableColumn>
    <tableColumn id="3" xr3:uid="{42033DA4-4025-F847-B785-B892773950A8}" name="%" dataDxfId="72" totalsRowDxfId="71" dataCellStyle="Porcentagem">
      <calculatedColumnFormula>Tabela12[[#This Row],[R$]]/Tabela12[[#Totals],[R$]]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706F08-491C-CE49-8DAE-D18CBB7FBACD}" name="Tabela13" displayName="Tabela13" ref="I7:K17" totalsRowCount="1">
  <autoFilter ref="I7:K16" xr:uid="{BE706F08-491C-CE49-8DAE-D18CBB7FBACD}"/>
  <sortState xmlns:xlrd2="http://schemas.microsoft.com/office/spreadsheetml/2017/richdata2" ref="I8:K29">
    <sortCondition descending="1" ref="K7:K29"/>
  </sortState>
  <tableColumns count="3">
    <tableColumn id="1" xr3:uid="{24003485-C01D-E147-9B14-D5D3EED61C82}" name="Centro de custo" totalsRowLabel="Total" dataDxfId="70" totalsRowDxfId="69"/>
    <tableColumn id="2" xr3:uid="{9DA54C49-C7F4-A848-8182-9F2126DDCAC3}" name="%" dataDxfId="68" totalsRowDxfId="67"/>
    <tableColumn id="3" xr3:uid="{BDAF6979-3949-9244-989A-33A73FF11A98}" name="R$" totalsRowFunction="sum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4" dT="2026-06-01T18:44:31.68" personId="{28347634-AD94-3643-97B7-29FA76AA2EA0}" id="{39D4281E-AF95-8D48-9A58-5B5D1EFB7FBF}">
    <text>3360,00 Salário
    29,40 Anuenio</text>
  </threadedComment>
  <threadedComment ref="I32" dT="2026-06-01T19:05:39.38" personId="{28347634-AD94-3643-97B7-29FA76AA2EA0}" id="{D4A2D99C-7446-1B41-AB4A-12BF16906642}">
    <text>2.100,00 Salário 
     29,40 Anuenio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297EB1-B6E1-1349-8027-C308A201DAF6}">
  <we:reference id="29673e3c-d826-4f00-92ee-162334a52b1a" version="1.0.0.8" store="EXCatalog" storeType="EXCatalog"/>
  <we:alternateReferences>
    <we:reference id="WA200009404" version="1.0.0.8" store="pt-BR" storeType="OMEX"/>
  </we:alternateReferences>
  <we:properties>
    <we:property name="claude.fileId" value="&quot;e6b51a12-e646-4ba6-a20e-889de3b10714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Relationship Id="rId4" Type="http://schemas.microsoft.com/office/2007/relationships/slicer" Target="../slicers/slicer1.xml"/></Relationships>
</file>

<file path=xl/worksheets/_rels/sheet1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8135-503F-E54B-9A37-ED0FA52F857C}">
  <dimension ref="A2:P61"/>
  <sheetViews>
    <sheetView zoomScale="92" zoomScaleNormal="92" workbookViewId="0">
      <selection activeCell="H2" sqref="H2"/>
    </sheetView>
  </sheetViews>
  <sheetFormatPr baseColWidth="10" defaultColWidth="15" defaultRowHeight="15"/>
  <cols>
    <col min="1" max="1" width="46.6640625" style="199" customWidth="1"/>
    <col min="2" max="14" width="13.5" style="199" customWidth="1"/>
    <col min="15" max="16384" width="15" style="199"/>
  </cols>
  <sheetData>
    <row r="2" spans="1:14">
      <c r="A2" s="246" t="s">
        <v>1</v>
      </c>
      <c r="B2" s="249">
        <f>Consolidated!E4</f>
        <v>290504767</v>
      </c>
      <c r="C2" s="249">
        <f>Consolidated!F4</f>
        <v>304511145</v>
      </c>
      <c r="D2" s="249">
        <f>Consolidated!G4</f>
        <v>309415143</v>
      </c>
      <c r="E2" s="249">
        <f>Consolidated!H4</f>
        <v>311856596</v>
      </c>
      <c r="F2" s="249">
        <f>Consolidated!I4</f>
        <v>312069591</v>
      </c>
      <c r="G2" s="249">
        <f>Consolidated!J4</f>
        <v>295791970</v>
      </c>
      <c r="H2" s="249">
        <f>Consolidated!K4</f>
        <v>254401486</v>
      </c>
      <c r="I2" s="249">
        <f>Consolidated!L4</f>
        <v>0</v>
      </c>
      <c r="J2" s="249">
        <f>Consolidated!M4</f>
        <v>0</v>
      </c>
      <c r="K2" s="249">
        <f>Consolidated!N4</f>
        <v>0</v>
      </c>
      <c r="L2" s="249">
        <f>Consolidated!O4</f>
        <v>0</v>
      </c>
      <c r="M2" s="249">
        <f>Consolidated!P4</f>
        <v>0</v>
      </c>
    </row>
    <row r="3" spans="1:14">
      <c r="A3" s="246" t="s">
        <v>2</v>
      </c>
      <c r="B3" s="247">
        <f>IF(B9&gt;0,B9/B2,0)</f>
        <v>6.0518524985168302E-4</v>
      </c>
      <c r="C3" s="247">
        <f t="shared" ref="C3:M3" si="0">IF(C9&gt;0,C9/C2,0)</f>
        <v>5.8541463236099292E-4</v>
      </c>
      <c r="D3" s="247">
        <f t="shared" si="0"/>
        <v>5.9200573774115511E-4</v>
      </c>
      <c r="E3" s="247">
        <f t="shared" si="0"/>
        <v>6.15522719294993E-4</v>
      </c>
      <c r="F3" s="247">
        <f t="shared" si="0"/>
        <v>6.1657497413773971E-4</v>
      </c>
      <c r="G3" s="247">
        <f t="shared" si="0"/>
        <v>6.3406670573241074E-4</v>
      </c>
      <c r="H3" s="247">
        <f t="shared" si="0"/>
        <v>6.8929086365478241E-4</v>
      </c>
      <c r="I3" s="247">
        <f t="shared" si="0"/>
        <v>0</v>
      </c>
      <c r="J3" s="247">
        <f t="shared" si="0"/>
        <v>0</v>
      </c>
      <c r="K3" s="247">
        <f t="shared" si="0"/>
        <v>0</v>
      </c>
      <c r="L3" s="247">
        <f t="shared" si="0"/>
        <v>0</v>
      </c>
      <c r="M3" s="247">
        <f t="shared" si="0"/>
        <v>0</v>
      </c>
    </row>
    <row r="4" spans="1:14">
      <c r="A4" s="246" t="s">
        <v>3</v>
      </c>
      <c r="B4" s="247">
        <f>IF(B3&lt;&gt;0,(1+B3)^(12/1)-1,"")</f>
        <v>7.2864442736932933E-3</v>
      </c>
      <c r="C4" s="247">
        <f t="shared" ref="C4:M4" si="1">IF(C3&lt;&gt;0,(1+C3)^(12/1)-1,"")</f>
        <v>7.0476386638569366E-3</v>
      </c>
      <c r="D4" s="247">
        <f t="shared" si="1"/>
        <v>7.127245631882051E-3</v>
      </c>
      <c r="E4" s="247">
        <f t="shared" si="1"/>
        <v>7.4113293094870691E-3</v>
      </c>
      <c r="F4" s="247">
        <f>IF(F3&lt;&gt;0,(1+F3)^(12/1)-1,"")</f>
        <v>7.4240421993900796E-3</v>
      </c>
      <c r="G4" s="247">
        <f t="shared" si="1"/>
        <v>7.6353913101652182E-3</v>
      </c>
      <c r="H4" s="247">
        <f t="shared" si="1"/>
        <v>8.3029205701545816E-3</v>
      </c>
      <c r="I4" s="247" t="str">
        <f t="shared" si="1"/>
        <v/>
      </c>
      <c r="J4" s="247" t="str">
        <f t="shared" si="1"/>
        <v/>
      </c>
      <c r="K4" s="247" t="str">
        <f t="shared" si="1"/>
        <v/>
      </c>
      <c r="L4" s="247" t="str">
        <f t="shared" si="1"/>
        <v/>
      </c>
      <c r="M4" s="247" t="str">
        <f t="shared" si="1"/>
        <v/>
      </c>
    </row>
    <row r="6" spans="1:14">
      <c r="A6" s="201" t="s">
        <v>4</v>
      </c>
      <c r="B6" s="201" t="s">
        <v>5</v>
      </c>
    </row>
    <row r="7" spans="1:14" ht="16">
      <c r="A7" s="298" t="s">
        <v>6</v>
      </c>
      <c r="B7" s="293" t="s">
        <v>526</v>
      </c>
      <c r="C7" s="293" t="s">
        <v>525</v>
      </c>
      <c r="D7" s="293" t="s">
        <v>524</v>
      </c>
      <c r="E7" s="293" t="s">
        <v>523</v>
      </c>
      <c r="F7" s="294">
        <v>46143</v>
      </c>
      <c r="G7" s="294">
        <v>46174</v>
      </c>
      <c r="H7" s="294">
        <v>46204</v>
      </c>
      <c r="I7" s="294">
        <v>46235</v>
      </c>
      <c r="J7" s="294">
        <v>46266</v>
      </c>
      <c r="K7" s="294">
        <v>46296</v>
      </c>
      <c r="L7" s="294">
        <v>46327</v>
      </c>
      <c r="M7" s="294">
        <v>46357</v>
      </c>
      <c r="N7" s="293" t="s">
        <v>150</v>
      </c>
    </row>
    <row r="8" spans="1:14">
      <c r="A8" s="291" t="s">
        <v>9</v>
      </c>
      <c r="B8" s="292">
        <v>239855.19999999998</v>
      </c>
      <c r="C8" s="292">
        <v>250631.13999999998</v>
      </c>
      <c r="D8" s="292">
        <v>228175.54000000007</v>
      </c>
      <c r="E8" s="292">
        <v>230080.36000000004</v>
      </c>
      <c r="F8" s="292">
        <v>232914.3</v>
      </c>
      <c r="G8" s="292">
        <v>277490.46000000008</v>
      </c>
      <c r="H8" s="292">
        <v>227626.62000000002</v>
      </c>
      <c r="I8" s="292"/>
      <c r="J8" s="292"/>
      <c r="K8" s="292"/>
      <c r="L8" s="292"/>
      <c r="M8" s="292"/>
      <c r="N8" s="292">
        <f>SUM(B8:M8)</f>
        <v>1686773.62</v>
      </c>
    </row>
    <row r="9" spans="1:14">
      <c r="A9" s="295" t="s">
        <v>522</v>
      </c>
      <c r="B9" s="290">
        <v>175809.19999999995</v>
      </c>
      <c r="C9" s="290">
        <v>178265.28</v>
      </c>
      <c r="D9" s="290">
        <v>183175.54</v>
      </c>
      <c r="E9" s="290">
        <v>191954.82000000004</v>
      </c>
      <c r="F9" s="290">
        <v>192414.30000000002</v>
      </c>
      <c r="G9" s="290">
        <v>187551.84000000005</v>
      </c>
      <c r="H9" s="290">
        <v>175356.62000000002</v>
      </c>
      <c r="I9" s="290"/>
      <c r="J9" s="290"/>
      <c r="K9" s="290"/>
      <c r="L9" s="290"/>
      <c r="M9" s="290"/>
      <c r="N9" s="290">
        <f t="shared" ref="N9:N49" si="2">SUM(B9:M9)</f>
        <v>1284527.6000000003</v>
      </c>
    </row>
    <row r="10" spans="1:14">
      <c r="A10" s="202" t="s">
        <v>521</v>
      </c>
      <c r="B10" s="200">
        <v>14700</v>
      </c>
      <c r="C10" s="200">
        <v>18900</v>
      </c>
      <c r="D10" s="200">
        <v>10400</v>
      </c>
      <c r="E10" s="200">
        <v>6500</v>
      </c>
      <c r="F10" s="200">
        <v>6500</v>
      </c>
      <c r="G10" s="200" t="s">
        <v>13</v>
      </c>
      <c r="H10" s="200">
        <v>18270</v>
      </c>
      <c r="I10" s="200"/>
      <c r="J10" s="200"/>
      <c r="K10" s="200"/>
      <c r="L10" s="200"/>
      <c r="M10" s="200"/>
      <c r="N10" s="200">
        <f t="shared" si="2"/>
        <v>75270</v>
      </c>
    </row>
    <row r="11" spans="1:14">
      <c r="A11" s="202" t="s">
        <v>520</v>
      </c>
      <c r="B11" s="200">
        <v>34000</v>
      </c>
      <c r="C11" s="200">
        <v>34000</v>
      </c>
      <c r="D11" s="200">
        <v>34000</v>
      </c>
      <c r="E11" s="200" t="s">
        <v>13</v>
      </c>
      <c r="F11" s="200">
        <v>34000</v>
      </c>
      <c r="G11" s="200">
        <v>83700</v>
      </c>
      <c r="H11" s="200">
        <v>34000</v>
      </c>
      <c r="I11" s="200"/>
      <c r="J11" s="200"/>
      <c r="K11" s="200"/>
      <c r="L11" s="200"/>
      <c r="M11" s="200"/>
      <c r="N11" s="200">
        <f t="shared" si="2"/>
        <v>253700</v>
      </c>
    </row>
    <row r="12" spans="1:14">
      <c r="A12" s="202" t="s">
        <v>519</v>
      </c>
      <c r="B12" s="200">
        <v>15346</v>
      </c>
      <c r="C12" s="200">
        <v>18715.86</v>
      </c>
      <c r="D12" s="200" t="s">
        <v>13</v>
      </c>
      <c r="E12" s="200">
        <v>30425.54</v>
      </c>
      <c r="F12" s="200" t="s">
        <v>13</v>
      </c>
      <c r="G12" s="200">
        <v>6238.62</v>
      </c>
      <c r="H12" s="200" t="s">
        <v>13</v>
      </c>
      <c r="I12" s="200"/>
      <c r="J12" s="200"/>
      <c r="K12" s="200"/>
      <c r="L12" s="200"/>
      <c r="M12" s="200"/>
      <c r="N12" s="200">
        <f t="shared" si="2"/>
        <v>70726.02</v>
      </c>
    </row>
    <row r="13" spans="1:14">
      <c r="A13" s="202" t="s">
        <v>518</v>
      </c>
      <c r="B13" s="200" t="s">
        <v>13</v>
      </c>
      <c r="C13" s="200">
        <v>750</v>
      </c>
      <c r="D13" s="200">
        <v>600</v>
      </c>
      <c r="E13" s="200">
        <v>1200</v>
      </c>
      <c r="F13" s="200" t="s">
        <v>13</v>
      </c>
      <c r="G13" s="200" t="s">
        <v>13</v>
      </c>
      <c r="H13" s="200" t="s">
        <v>13</v>
      </c>
      <c r="I13" s="200"/>
      <c r="J13" s="200"/>
      <c r="K13" s="200"/>
      <c r="L13" s="200"/>
      <c r="M13" s="200"/>
      <c r="N13" s="200">
        <f t="shared" si="2"/>
        <v>2550</v>
      </c>
    </row>
    <row r="14" spans="1:14">
      <c r="A14" s="288" t="s">
        <v>517</v>
      </c>
      <c r="B14" s="285">
        <v>0</v>
      </c>
      <c r="C14" s="285" t="s">
        <v>13</v>
      </c>
      <c r="D14" s="285" t="s">
        <v>13</v>
      </c>
      <c r="E14" s="285" t="s">
        <v>13</v>
      </c>
      <c r="F14" s="285" t="s">
        <v>13</v>
      </c>
      <c r="G14" s="285" t="s">
        <v>13</v>
      </c>
      <c r="H14" s="285" t="s">
        <v>13</v>
      </c>
      <c r="I14" s="285"/>
      <c r="J14" s="285"/>
      <c r="K14" s="285"/>
      <c r="L14" s="285"/>
      <c r="M14" s="285"/>
      <c r="N14" s="285">
        <f t="shared" si="2"/>
        <v>0</v>
      </c>
    </row>
    <row r="15" spans="1:14">
      <c r="A15" s="291" t="s">
        <v>10</v>
      </c>
      <c r="B15" s="292">
        <v>239855.19999999998</v>
      </c>
      <c r="C15" s="292">
        <v>250631.13999999998</v>
      </c>
      <c r="D15" s="292">
        <v>228175.54000000007</v>
      </c>
      <c r="E15" s="292">
        <v>230080.36000000004</v>
      </c>
      <c r="F15" s="292">
        <v>232914.3</v>
      </c>
      <c r="G15" s="292">
        <v>277490.46000000008</v>
      </c>
      <c r="H15" s="292">
        <v>227626.62000000002</v>
      </c>
      <c r="I15" s="292"/>
      <c r="J15" s="292"/>
      <c r="K15" s="292"/>
      <c r="L15" s="292"/>
      <c r="M15" s="292"/>
      <c r="N15" s="292">
        <f t="shared" si="2"/>
        <v>1686773.62</v>
      </c>
    </row>
    <row r="16" spans="1:14">
      <c r="A16" s="289" t="s">
        <v>11</v>
      </c>
      <c r="B16" s="290">
        <v>-177743.88</v>
      </c>
      <c r="C16" s="290">
        <v>-108921.69</v>
      </c>
      <c r="D16" s="290">
        <v>-121072.98</v>
      </c>
      <c r="E16" s="290">
        <v>-170232.02</v>
      </c>
      <c r="F16" s="290">
        <v>-110761.27000000002</v>
      </c>
      <c r="G16" s="290">
        <v>-111550.61</v>
      </c>
      <c r="H16" s="290">
        <v>-175776.84</v>
      </c>
      <c r="I16" s="290"/>
      <c r="J16" s="290"/>
      <c r="K16" s="290"/>
      <c r="L16" s="290"/>
      <c r="M16" s="290"/>
      <c r="N16" s="290">
        <f t="shared" si="2"/>
        <v>-976059.28999999992</v>
      </c>
    </row>
    <row r="17" spans="1:16">
      <c r="A17" s="202" t="s">
        <v>12</v>
      </c>
      <c r="B17" s="200">
        <v>-93125.38</v>
      </c>
      <c r="C17" s="200">
        <v>-22147.37</v>
      </c>
      <c r="D17" s="200">
        <v>-24947.439999999999</v>
      </c>
      <c r="E17" s="200">
        <v>-81040.13</v>
      </c>
      <c r="F17" s="200">
        <v>-20948.04</v>
      </c>
      <c r="G17" s="200">
        <v>-23544.719999999998</v>
      </c>
      <c r="H17" s="200">
        <v>-96739.75</v>
      </c>
      <c r="I17" s="200"/>
      <c r="J17" s="200"/>
      <c r="K17" s="200"/>
      <c r="L17" s="200"/>
      <c r="M17" s="200"/>
      <c r="N17" s="200">
        <f t="shared" si="2"/>
        <v>-362492.83</v>
      </c>
      <c r="O17" s="241">
        <f>N17/N8</f>
        <v>-0.21490307039542153</v>
      </c>
    </row>
    <row r="18" spans="1:16">
      <c r="A18" s="202" t="s">
        <v>516</v>
      </c>
      <c r="B18" s="200">
        <v>-78563.010000000009</v>
      </c>
      <c r="C18" s="200">
        <v>-78042.820000000007</v>
      </c>
      <c r="D18" s="200">
        <v>-86512.28</v>
      </c>
      <c r="E18" s="200">
        <v>-81040.02</v>
      </c>
      <c r="F18" s="200">
        <v>-80187.140000000014</v>
      </c>
      <c r="G18" s="200">
        <v>-81460.060000000012</v>
      </c>
      <c r="H18" s="200">
        <v>-72271.87999999999</v>
      </c>
      <c r="I18" s="200"/>
      <c r="J18" s="200"/>
      <c r="K18" s="200"/>
      <c r="L18" s="200"/>
      <c r="M18" s="200"/>
      <c r="N18" s="200">
        <f t="shared" si="2"/>
        <v>-558077.21</v>
      </c>
    </row>
    <row r="19" spans="1:16">
      <c r="A19" s="202" t="s">
        <v>515</v>
      </c>
      <c r="B19" s="200">
        <v>-5749.27</v>
      </c>
      <c r="C19" s="200">
        <v>-5695.28</v>
      </c>
      <c r="D19" s="200">
        <v>-7461.4</v>
      </c>
      <c r="E19" s="200">
        <v>-5965.22</v>
      </c>
      <c r="F19" s="200">
        <v>-8479.8700000000008</v>
      </c>
      <c r="G19" s="200">
        <v>-6239.61</v>
      </c>
      <c r="H19" s="200">
        <v>-6458.99</v>
      </c>
      <c r="I19" s="200"/>
      <c r="J19" s="200"/>
      <c r="K19" s="200"/>
      <c r="L19" s="200"/>
      <c r="M19" s="200"/>
      <c r="N19" s="200">
        <f t="shared" si="2"/>
        <v>-46049.64</v>
      </c>
    </row>
    <row r="20" spans="1:16">
      <c r="A20" s="202" t="s">
        <v>514</v>
      </c>
      <c r="B20" s="200" t="s">
        <v>13</v>
      </c>
      <c r="C20" s="200">
        <v>-2730</v>
      </c>
      <c r="D20" s="200">
        <v>-420</v>
      </c>
      <c r="E20" s="200">
        <v>-1880.43</v>
      </c>
      <c r="F20" s="200">
        <v>-840</v>
      </c>
      <c r="G20" s="200" t="s">
        <v>13</v>
      </c>
      <c r="H20" s="200" t="s">
        <v>13</v>
      </c>
      <c r="I20" s="200"/>
      <c r="J20" s="200"/>
      <c r="K20" s="200"/>
      <c r="L20" s="200"/>
      <c r="M20" s="200"/>
      <c r="N20" s="200">
        <f t="shared" si="2"/>
        <v>-5870.43</v>
      </c>
    </row>
    <row r="21" spans="1:16">
      <c r="A21" s="202" t="s">
        <v>513</v>
      </c>
      <c r="B21" s="200" t="s">
        <v>13</v>
      </c>
      <c r="C21" s="200" t="s">
        <v>13</v>
      </c>
      <c r="D21" s="200">
        <v>-1425.64</v>
      </c>
      <c r="E21" s="200" t="s">
        <v>13</v>
      </c>
      <c r="F21" s="200" t="s">
        <v>13</v>
      </c>
      <c r="G21" s="200" t="s">
        <v>13</v>
      </c>
      <c r="H21" s="200" t="s">
        <v>13</v>
      </c>
      <c r="I21" s="200"/>
      <c r="J21" s="200"/>
      <c r="K21" s="200"/>
      <c r="L21" s="200"/>
      <c r="M21" s="200"/>
      <c r="N21" s="200">
        <f t="shared" si="2"/>
        <v>-1425.64</v>
      </c>
    </row>
    <row r="22" spans="1:16">
      <c r="A22" s="288" t="s">
        <v>512</v>
      </c>
      <c r="B22" s="285">
        <v>-306.22000000000003</v>
      </c>
      <c r="C22" s="285">
        <v>-306.22000000000003</v>
      </c>
      <c r="D22" s="285">
        <v>-306.22000000000003</v>
      </c>
      <c r="E22" s="285">
        <v>-306.22000000000003</v>
      </c>
      <c r="F22" s="285">
        <v>-306.22000000000003</v>
      </c>
      <c r="G22" s="285">
        <v>-306.22000000000003</v>
      </c>
      <c r="H22" s="285">
        <v>-306.22000000000003</v>
      </c>
      <c r="I22" s="285"/>
      <c r="J22" s="285"/>
      <c r="K22" s="285"/>
      <c r="L22" s="285"/>
      <c r="M22" s="285"/>
      <c r="N22" s="285">
        <f t="shared" si="2"/>
        <v>-2143.54</v>
      </c>
    </row>
    <row r="23" spans="1:16">
      <c r="A23" s="291" t="s">
        <v>14</v>
      </c>
      <c r="B23" s="292">
        <v>62111.319999999978</v>
      </c>
      <c r="C23" s="292">
        <v>141709.44999999998</v>
      </c>
      <c r="D23" s="292">
        <v>107102.56000000007</v>
      </c>
      <c r="E23" s="292">
        <v>59848.340000000055</v>
      </c>
      <c r="F23" s="292">
        <v>122153.02999999997</v>
      </c>
      <c r="G23" s="292">
        <v>165939.85000000009</v>
      </c>
      <c r="H23" s="292">
        <v>51849.780000000028</v>
      </c>
      <c r="I23" s="292"/>
      <c r="J23" s="292"/>
      <c r="K23" s="292"/>
      <c r="L23" s="292"/>
      <c r="M23" s="292"/>
      <c r="N23" s="292">
        <f t="shared" si="2"/>
        <v>710714.33000000007</v>
      </c>
    </row>
    <row r="24" spans="1:16">
      <c r="A24" s="289" t="s">
        <v>15</v>
      </c>
      <c r="B24" s="290">
        <v>-45973.640000000007</v>
      </c>
      <c r="C24" s="290">
        <v>-39048.449999999997</v>
      </c>
      <c r="D24" s="290">
        <v>-52448.170000000013</v>
      </c>
      <c r="E24" s="290">
        <v>-47406.540000000023</v>
      </c>
      <c r="F24" s="290">
        <v>-60020.040000000023</v>
      </c>
      <c r="G24" s="290">
        <v>-47468.030000000021</v>
      </c>
      <c r="H24" s="290">
        <v>-43406.910000000018</v>
      </c>
      <c r="I24" s="290"/>
      <c r="J24" s="290"/>
      <c r="K24" s="290"/>
      <c r="L24" s="290"/>
      <c r="M24" s="290"/>
      <c r="N24" s="290">
        <f t="shared" si="2"/>
        <v>-335771.78000000014</v>
      </c>
    </row>
    <row r="25" spans="1:16">
      <c r="A25" s="202" t="s">
        <v>511</v>
      </c>
      <c r="B25" s="200">
        <v>-6659.05</v>
      </c>
      <c r="C25" s="200">
        <v>-10429.4</v>
      </c>
      <c r="D25" s="200">
        <v>-13062.59</v>
      </c>
      <c r="E25" s="200">
        <v>-11040.539999999999</v>
      </c>
      <c r="F25" s="200">
        <v>-11647.38</v>
      </c>
      <c r="G25" s="200">
        <v>-15156.07</v>
      </c>
      <c r="H25" s="200">
        <v>-11933.16</v>
      </c>
      <c r="I25" s="200"/>
      <c r="J25" s="200"/>
      <c r="K25" s="200"/>
      <c r="L25" s="200"/>
      <c r="M25" s="200"/>
      <c r="N25" s="200">
        <f t="shared" si="2"/>
        <v>-79928.19</v>
      </c>
    </row>
    <row r="26" spans="1:16">
      <c r="A26" s="202" t="s">
        <v>510</v>
      </c>
      <c r="B26" s="200">
        <v>-15303.939999999999</v>
      </c>
      <c r="C26" s="200">
        <v>-9519.0499999999993</v>
      </c>
      <c r="D26" s="200">
        <v>-13097.35</v>
      </c>
      <c r="E26" s="200">
        <v>-10678.38</v>
      </c>
      <c r="F26" s="200">
        <v>-9918.6999999999989</v>
      </c>
      <c r="G26" s="200">
        <v>-9939.9599999999991</v>
      </c>
      <c r="H26" s="200">
        <v>-10299.929999999998</v>
      </c>
      <c r="I26" s="200"/>
      <c r="J26" s="200"/>
      <c r="K26" s="200"/>
      <c r="L26" s="200"/>
      <c r="M26" s="200"/>
      <c r="N26" s="200">
        <f t="shared" si="2"/>
        <v>-78757.309999999983</v>
      </c>
    </row>
    <row r="27" spans="1:16">
      <c r="A27" s="202" t="s">
        <v>509</v>
      </c>
      <c r="B27" s="200">
        <v>-21367.88</v>
      </c>
      <c r="C27" s="200">
        <v>-19100</v>
      </c>
      <c r="D27" s="200">
        <v>-26235.23</v>
      </c>
      <c r="E27" s="200">
        <v>-25581.62000000001</v>
      </c>
      <c r="F27" s="200">
        <v>-32735.460000000003</v>
      </c>
      <c r="G27" s="200">
        <v>-22372</v>
      </c>
      <c r="H27" s="200">
        <v>-21173.82</v>
      </c>
      <c r="I27" s="200"/>
      <c r="J27" s="200"/>
      <c r="K27" s="200"/>
      <c r="L27" s="200"/>
      <c r="M27" s="200"/>
      <c r="N27" s="200">
        <f t="shared" si="2"/>
        <v>-168566.01</v>
      </c>
    </row>
    <row r="28" spans="1:16">
      <c r="A28" s="202" t="s">
        <v>508</v>
      </c>
      <c r="B28" s="200">
        <v>-1119.18</v>
      </c>
      <c r="C28" s="200" t="s">
        <v>13</v>
      </c>
      <c r="D28" s="200" t="s">
        <v>13</v>
      </c>
      <c r="E28" s="200" t="s">
        <v>13</v>
      </c>
      <c r="F28" s="200" t="s">
        <v>13</v>
      </c>
      <c r="G28" s="200" t="s">
        <v>13</v>
      </c>
      <c r="H28" s="200" t="s">
        <v>13</v>
      </c>
      <c r="I28" s="200"/>
      <c r="J28" s="200"/>
      <c r="K28" s="200"/>
      <c r="L28" s="200"/>
      <c r="M28" s="200"/>
      <c r="N28" s="200">
        <f t="shared" si="2"/>
        <v>-1119.18</v>
      </c>
    </row>
    <row r="29" spans="1:16">
      <c r="A29" s="288" t="s">
        <v>507</v>
      </c>
      <c r="B29" s="285">
        <v>-1523.5900000000001</v>
      </c>
      <c r="C29" s="285" t="s">
        <v>13</v>
      </c>
      <c r="D29" s="285">
        <v>-53</v>
      </c>
      <c r="E29" s="285">
        <v>-106</v>
      </c>
      <c r="F29" s="285">
        <v>-5718.5</v>
      </c>
      <c r="G29" s="285">
        <v>0</v>
      </c>
      <c r="H29" s="285">
        <v>0</v>
      </c>
      <c r="I29" s="285"/>
      <c r="J29" s="285"/>
      <c r="K29" s="285"/>
      <c r="L29" s="285"/>
      <c r="M29" s="285"/>
      <c r="N29" s="285">
        <f t="shared" si="2"/>
        <v>-7401.09</v>
      </c>
    </row>
    <row r="30" spans="1:16">
      <c r="A30" s="291" t="s">
        <v>16</v>
      </c>
      <c r="B30" s="292">
        <v>16137.679999999971</v>
      </c>
      <c r="C30" s="292">
        <v>102660.99999999999</v>
      </c>
      <c r="D30" s="292">
        <v>54654.390000000058</v>
      </c>
      <c r="E30" s="292">
        <v>12441.800000000032</v>
      </c>
      <c r="F30" s="292">
        <v>62132.989999999947</v>
      </c>
      <c r="G30" s="292">
        <v>118471.82000000007</v>
      </c>
      <c r="H30" s="292">
        <v>8442.8700000000099</v>
      </c>
      <c r="I30" s="292"/>
      <c r="J30" s="292"/>
      <c r="K30" s="292"/>
      <c r="L30" s="292"/>
      <c r="M30" s="292"/>
      <c r="N30" s="292">
        <f t="shared" si="2"/>
        <v>374942.55000000005</v>
      </c>
      <c r="P30" s="207"/>
    </row>
    <row r="31" spans="1:16">
      <c r="A31" s="289" t="s">
        <v>17</v>
      </c>
      <c r="B31" s="290">
        <v>-22722.729999999996</v>
      </c>
      <c r="C31" s="290">
        <v>-22213.48</v>
      </c>
      <c r="D31" s="290">
        <v>-23785.239999999991</v>
      </c>
      <c r="E31" s="290">
        <v>-20323.959999999995</v>
      </c>
      <c r="F31" s="290">
        <v>-19904.759999999998</v>
      </c>
      <c r="G31" s="290">
        <v>-19438.820000000003</v>
      </c>
      <c r="H31" s="290">
        <v>-29716.58</v>
      </c>
      <c r="I31" s="290"/>
      <c r="J31" s="290"/>
      <c r="K31" s="290"/>
      <c r="L31" s="290"/>
      <c r="M31" s="290"/>
      <c r="N31" s="290">
        <f t="shared" si="2"/>
        <v>-158105.56999999998</v>
      </c>
    </row>
    <row r="32" spans="1:16">
      <c r="A32" s="202" t="s">
        <v>506</v>
      </c>
      <c r="B32" s="200">
        <v>-10767.650000000001</v>
      </c>
      <c r="C32" s="200">
        <v>-7850.2999999999993</v>
      </c>
      <c r="D32" s="200">
        <v>-8253.59</v>
      </c>
      <c r="E32" s="200">
        <v>-8252.4599999999991</v>
      </c>
      <c r="F32" s="200">
        <v>-9165.58</v>
      </c>
      <c r="G32" s="200">
        <v>-8964.0499999999993</v>
      </c>
      <c r="H32" s="200">
        <v>-8776.49</v>
      </c>
      <c r="I32" s="200"/>
      <c r="J32" s="200"/>
      <c r="K32" s="200"/>
      <c r="L32" s="200"/>
      <c r="M32" s="200"/>
      <c r="N32" s="200">
        <f t="shared" si="2"/>
        <v>-62030.12</v>
      </c>
    </row>
    <row r="33" spans="1:14">
      <c r="A33" s="202" t="s">
        <v>505</v>
      </c>
      <c r="B33" s="200">
        <v>0</v>
      </c>
      <c r="C33" s="200" t="s">
        <v>13</v>
      </c>
      <c r="D33" s="200" t="s">
        <v>13</v>
      </c>
      <c r="E33" s="200" t="s">
        <v>13</v>
      </c>
      <c r="F33" s="200" t="s">
        <v>13</v>
      </c>
      <c r="G33" s="200" t="s">
        <v>13</v>
      </c>
      <c r="H33" s="200" t="s">
        <v>13</v>
      </c>
      <c r="I33" s="200"/>
      <c r="J33" s="200"/>
      <c r="K33" s="200"/>
      <c r="L33" s="200"/>
      <c r="M33" s="200"/>
      <c r="N33" s="200">
        <f t="shared" si="2"/>
        <v>0</v>
      </c>
    </row>
    <row r="34" spans="1:14">
      <c r="A34" s="202" t="s">
        <v>504</v>
      </c>
      <c r="B34" s="200">
        <v>-4432.6099999999997</v>
      </c>
      <c r="C34" s="200">
        <v>-4617.9399999999996</v>
      </c>
      <c r="D34" s="200">
        <v>-4617.9399999999996</v>
      </c>
      <c r="E34" s="200">
        <v>-4617.9399999999996</v>
      </c>
      <c r="F34" s="200">
        <v>-4617.9399999999996</v>
      </c>
      <c r="G34" s="200">
        <v>-4617.9399999999996</v>
      </c>
      <c r="H34" s="200">
        <v>-13617.94</v>
      </c>
      <c r="I34" s="200"/>
      <c r="J34" s="200"/>
      <c r="K34" s="200"/>
      <c r="L34" s="200"/>
      <c r="M34" s="200"/>
      <c r="N34" s="200">
        <f t="shared" si="2"/>
        <v>-41140.249999999993</v>
      </c>
    </row>
    <row r="35" spans="1:14">
      <c r="A35" s="202" t="s">
        <v>503</v>
      </c>
      <c r="B35" s="200">
        <v>-2598.88</v>
      </c>
      <c r="C35" s="200">
        <v>-3044.37</v>
      </c>
      <c r="D35" s="200">
        <v>-4764.3599999999988</v>
      </c>
      <c r="E35" s="200">
        <v>-2982.44</v>
      </c>
      <c r="F35" s="200">
        <v>-1595.19</v>
      </c>
      <c r="G35" s="200">
        <v>-484.9</v>
      </c>
      <c r="H35" s="200">
        <v>-195</v>
      </c>
      <c r="I35" s="200"/>
      <c r="J35" s="200"/>
      <c r="K35" s="200"/>
      <c r="L35" s="200"/>
      <c r="M35" s="200"/>
      <c r="N35" s="200">
        <f t="shared" si="2"/>
        <v>-15665.14</v>
      </c>
    </row>
    <row r="36" spans="1:14">
      <c r="A36" s="202" t="s">
        <v>502</v>
      </c>
      <c r="B36" s="200">
        <v>-2058.7799999999997</v>
      </c>
      <c r="C36" s="200">
        <v>-3995.8399999999992</v>
      </c>
      <c r="D36" s="200">
        <v>-3193.7400000000002</v>
      </c>
      <c r="E36" s="200">
        <v>-2495.5100000000002</v>
      </c>
      <c r="F36" s="200">
        <v>-2050.44</v>
      </c>
      <c r="G36" s="200">
        <v>-3396.3199999999993</v>
      </c>
      <c r="H36" s="200">
        <v>-3290.5899999999997</v>
      </c>
      <c r="I36" s="200"/>
      <c r="J36" s="200"/>
      <c r="K36" s="200"/>
      <c r="L36" s="200"/>
      <c r="M36" s="200"/>
      <c r="N36" s="200">
        <f t="shared" si="2"/>
        <v>-20481.219999999998</v>
      </c>
    </row>
    <row r="37" spans="1:14">
      <c r="A37" s="202" t="s">
        <v>501</v>
      </c>
      <c r="B37" s="200">
        <v>-1957.95</v>
      </c>
      <c r="C37" s="200">
        <v>-1798.17</v>
      </c>
      <c r="D37" s="200">
        <v>-2048.75</v>
      </c>
      <c r="E37" s="200">
        <v>-1068.75</v>
      </c>
      <c r="F37" s="200">
        <v>-1568.75</v>
      </c>
      <c r="G37" s="200">
        <v>-1068.75</v>
      </c>
      <c r="H37" s="200">
        <v>-2929.7</v>
      </c>
      <c r="I37" s="200"/>
      <c r="J37" s="200"/>
      <c r="K37" s="200"/>
      <c r="L37" s="200"/>
      <c r="M37" s="200"/>
      <c r="N37" s="200">
        <f t="shared" si="2"/>
        <v>-12440.82</v>
      </c>
    </row>
    <row r="38" spans="1:14">
      <c r="A38" s="202" t="s">
        <v>500</v>
      </c>
      <c r="B38" s="200">
        <v>-906.8599999999999</v>
      </c>
      <c r="C38" s="200">
        <v>-906.8599999999999</v>
      </c>
      <c r="D38" s="200">
        <v>-906.8599999999999</v>
      </c>
      <c r="E38" s="200">
        <v>-906.8599999999999</v>
      </c>
      <c r="F38" s="200">
        <v>-906.86</v>
      </c>
      <c r="G38" s="200">
        <v>-906.8599999999999</v>
      </c>
      <c r="H38" s="200">
        <v>-906.86</v>
      </c>
      <c r="I38" s="200"/>
      <c r="J38" s="200"/>
      <c r="K38" s="200"/>
      <c r="L38" s="200"/>
      <c r="M38" s="200"/>
      <c r="N38" s="200">
        <f t="shared" si="2"/>
        <v>-6348.0199999999986</v>
      </c>
    </row>
    <row r="39" spans="1:14">
      <c r="A39" s="202" t="s">
        <v>499</v>
      </c>
      <c r="B39" s="200">
        <v>0</v>
      </c>
      <c r="C39" s="200" t="s">
        <v>13</v>
      </c>
      <c r="D39" s="200" t="s">
        <v>13</v>
      </c>
      <c r="E39" s="200" t="s">
        <v>13</v>
      </c>
      <c r="F39" s="200" t="s">
        <v>13</v>
      </c>
      <c r="G39" s="200" t="s">
        <v>13</v>
      </c>
      <c r="H39" s="200" t="s">
        <v>13</v>
      </c>
      <c r="I39" s="200"/>
      <c r="J39" s="200"/>
      <c r="K39" s="200"/>
      <c r="L39" s="200"/>
      <c r="M39" s="200"/>
      <c r="N39" s="200">
        <f t="shared" si="2"/>
        <v>0</v>
      </c>
    </row>
    <row r="40" spans="1:14">
      <c r="A40" s="202" t="s">
        <v>498</v>
      </c>
      <c r="B40" s="200">
        <v>0</v>
      </c>
      <c r="C40" s="200" t="s">
        <v>13</v>
      </c>
      <c r="D40" s="200" t="s">
        <v>13</v>
      </c>
      <c r="E40" s="200" t="s">
        <v>13</v>
      </c>
      <c r="F40" s="200" t="s">
        <v>13</v>
      </c>
      <c r="G40" s="200" t="s">
        <v>13</v>
      </c>
      <c r="H40" s="200" t="s">
        <v>13</v>
      </c>
      <c r="I40" s="200"/>
      <c r="J40" s="200"/>
      <c r="K40" s="200"/>
      <c r="L40" s="200"/>
      <c r="M40" s="200"/>
      <c r="N40" s="200">
        <f t="shared" si="2"/>
        <v>0</v>
      </c>
    </row>
    <row r="41" spans="1:14">
      <c r="A41" s="288" t="s">
        <v>497</v>
      </c>
      <c r="B41" s="285">
        <v>0</v>
      </c>
      <c r="C41" s="285" t="s">
        <v>13</v>
      </c>
      <c r="D41" s="285" t="s">
        <v>13</v>
      </c>
      <c r="E41" s="285" t="s">
        <v>13</v>
      </c>
      <c r="F41" s="285" t="s">
        <v>13</v>
      </c>
      <c r="G41" s="285" t="s">
        <v>13</v>
      </c>
      <c r="H41" s="285" t="s">
        <v>13</v>
      </c>
      <c r="I41" s="285"/>
      <c r="J41" s="285"/>
      <c r="K41" s="285"/>
      <c r="L41" s="285"/>
      <c r="M41" s="285"/>
      <c r="N41" s="285">
        <f t="shared" si="2"/>
        <v>0</v>
      </c>
    </row>
    <row r="42" spans="1:14">
      <c r="A42" s="291" t="s">
        <v>18</v>
      </c>
      <c r="B42" s="292">
        <v>-6585.0500000000247</v>
      </c>
      <c r="C42" s="292">
        <v>80447.51999999999</v>
      </c>
      <c r="D42" s="292">
        <v>30869.150000000067</v>
      </c>
      <c r="E42" s="292">
        <v>-7882.1599999999635</v>
      </c>
      <c r="F42" s="292">
        <v>42228.229999999952</v>
      </c>
      <c r="G42" s="292">
        <v>99033.000000000058</v>
      </c>
      <c r="H42" s="292">
        <v>-21273.709999999992</v>
      </c>
      <c r="I42" s="292"/>
      <c r="J42" s="292"/>
      <c r="K42" s="292"/>
      <c r="L42" s="292"/>
      <c r="M42" s="292"/>
      <c r="N42" s="292">
        <f t="shared" si="2"/>
        <v>216836.9800000001</v>
      </c>
    </row>
    <row r="43" spans="1:14">
      <c r="A43" s="289" t="s">
        <v>19</v>
      </c>
      <c r="B43" s="290">
        <v>-1256.5699999999977</v>
      </c>
      <c r="C43" s="290">
        <v>-973.19999999999879</v>
      </c>
      <c r="D43" s="290">
        <v>-337.74999999999676</v>
      </c>
      <c r="E43" s="290">
        <v>-751.95999999999879</v>
      </c>
      <c r="F43" s="290">
        <v>271.08</v>
      </c>
      <c r="G43" s="290">
        <v>-3502.97</v>
      </c>
      <c r="H43" s="290">
        <v>-129.72000000000048</v>
      </c>
      <c r="I43" s="290"/>
      <c r="J43" s="290"/>
      <c r="K43" s="290"/>
      <c r="L43" s="290"/>
      <c r="M43" s="290"/>
      <c r="N43" s="290">
        <f t="shared" si="2"/>
        <v>-6681.089999999992</v>
      </c>
    </row>
    <row r="44" spans="1:14">
      <c r="A44" s="296" t="s">
        <v>20</v>
      </c>
      <c r="B44" s="285">
        <v>8.6300000000000008</v>
      </c>
      <c r="C44" s="285">
        <v>1.89</v>
      </c>
      <c r="D44" s="285">
        <v>0.6</v>
      </c>
      <c r="E44" s="285">
        <v>3.45</v>
      </c>
      <c r="F44" s="285">
        <v>5.19</v>
      </c>
      <c r="G44" s="285" t="s">
        <v>13</v>
      </c>
      <c r="H44" s="285">
        <v>-50</v>
      </c>
      <c r="I44" s="285"/>
      <c r="J44" s="285"/>
      <c r="K44" s="285"/>
      <c r="L44" s="285"/>
      <c r="M44" s="285"/>
      <c r="N44" s="285">
        <f t="shared" si="2"/>
        <v>-30.24</v>
      </c>
    </row>
    <row r="45" spans="1:14">
      <c r="A45" s="291" t="s">
        <v>21</v>
      </c>
      <c r="B45" s="292">
        <v>-7832.9900000000225</v>
      </c>
      <c r="C45" s="292">
        <v>79476.209999999992</v>
      </c>
      <c r="D45" s="292">
        <v>30532.000000000069</v>
      </c>
      <c r="E45" s="292">
        <v>-8630.6699999999619</v>
      </c>
      <c r="F45" s="292">
        <v>42504.499999999956</v>
      </c>
      <c r="G45" s="292">
        <v>95530.030000000057</v>
      </c>
      <c r="H45" s="292">
        <v>-21453.429999999993</v>
      </c>
      <c r="I45" s="292"/>
      <c r="J45" s="292"/>
      <c r="K45" s="292"/>
      <c r="L45" s="292"/>
      <c r="M45" s="292"/>
      <c r="N45" s="292">
        <f t="shared" si="2"/>
        <v>210125.65000000011</v>
      </c>
    </row>
    <row r="46" spans="1:14">
      <c r="A46" s="289" t="s">
        <v>22</v>
      </c>
      <c r="B46" s="290">
        <v>-10236.57</v>
      </c>
      <c r="C46" s="290">
        <v>-10119.25</v>
      </c>
      <c r="D46" s="290">
        <v>-8739.58</v>
      </c>
      <c r="E46" s="290">
        <v>-10636.86</v>
      </c>
      <c r="F46" s="290">
        <v>-9270.0299999999988</v>
      </c>
      <c r="G46" s="290">
        <v>-9126.119999999999</v>
      </c>
      <c r="H46" s="290">
        <v>-9386.01</v>
      </c>
      <c r="I46" s="290"/>
      <c r="J46" s="290"/>
      <c r="K46" s="290"/>
      <c r="L46" s="290"/>
      <c r="M46" s="290"/>
      <c r="N46" s="290">
        <f t="shared" si="2"/>
        <v>-67514.42</v>
      </c>
    </row>
    <row r="47" spans="1:14">
      <c r="A47" s="203" t="s">
        <v>532</v>
      </c>
      <c r="B47" s="204" t="s">
        <v>13</v>
      </c>
      <c r="C47" s="205">
        <v>-278.08999999999997</v>
      </c>
      <c r="D47" s="204" t="s">
        <v>13</v>
      </c>
      <c r="E47" s="205">
        <v>-558.89</v>
      </c>
      <c r="F47" s="205" t="s">
        <v>13</v>
      </c>
      <c r="G47" s="205" t="s">
        <v>13</v>
      </c>
      <c r="H47" s="205" t="s">
        <v>13</v>
      </c>
      <c r="I47" s="205"/>
      <c r="J47" s="205"/>
      <c r="K47" s="205"/>
      <c r="L47" s="205"/>
      <c r="M47" s="205"/>
      <c r="N47" s="200">
        <f t="shared" si="2"/>
        <v>-836.98</v>
      </c>
    </row>
    <row r="48" spans="1:14">
      <c r="A48" s="284" t="s">
        <v>533</v>
      </c>
      <c r="B48" s="297">
        <v>-10236.57</v>
      </c>
      <c r="C48" s="297">
        <v>-9841.16</v>
      </c>
      <c r="D48" s="297">
        <v>-8739.58</v>
      </c>
      <c r="E48" s="297">
        <v>-10077.970000000001</v>
      </c>
      <c r="F48" s="297">
        <v>-9270.0299999999988</v>
      </c>
      <c r="G48" s="297">
        <v>-9126.119999999999</v>
      </c>
      <c r="H48" s="297">
        <v>-9386.01</v>
      </c>
      <c r="I48" s="297"/>
      <c r="J48" s="297"/>
      <c r="K48" s="297"/>
      <c r="L48" s="297"/>
      <c r="M48" s="297"/>
      <c r="N48" s="285">
        <f t="shared" si="2"/>
        <v>-66677.439999999988</v>
      </c>
    </row>
    <row r="49" spans="1:14">
      <c r="A49" s="291" t="s">
        <v>23</v>
      </c>
      <c r="B49" s="292">
        <v>-18069.560000000023</v>
      </c>
      <c r="C49" s="292">
        <v>69356.959999999992</v>
      </c>
      <c r="D49" s="292">
        <v>21792.420000000071</v>
      </c>
      <c r="E49" s="292">
        <v>-19267.529999999962</v>
      </c>
      <c r="F49" s="292">
        <v>33234.469999999958</v>
      </c>
      <c r="G49" s="292">
        <v>86403.910000000062</v>
      </c>
      <c r="H49" s="292">
        <v>-30839.439999999995</v>
      </c>
      <c r="I49" s="292"/>
      <c r="J49" s="292"/>
      <c r="K49" s="292"/>
      <c r="L49" s="292"/>
      <c r="M49" s="292"/>
      <c r="N49" s="292">
        <f t="shared" si="2"/>
        <v>142611.2300000001</v>
      </c>
    </row>
    <row r="53" spans="1:14">
      <c r="A53" s="13" t="s">
        <v>535</v>
      </c>
      <c r="B53" s="14">
        <f t="shared" ref="B53:N53" si="3">(B11*(1+$O$17))+B27</f>
        <v>5325.4156065556672</v>
      </c>
      <c r="C53" s="14">
        <f t="shared" si="3"/>
        <v>7593.2956065556682</v>
      </c>
      <c r="D53" s="14">
        <f t="shared" si="3"/>
        <v>458.06560655566864</v>
      </c>
      <c r="E53" s="14">
        <f t="shared" si="3"/>
        <v>-25581.62000000001</v>
      </c>
      <c r="F53" s="14">
        <f t="shared" si="3"/>
        <v>-6042.1643934443346</v>
      </c>
      <c r="G53" s="14">
        <f t="shared" si="3"/>
        <v>43340.613007903215</v>
      </c>
      <c r="H53" s="14">
        <f t="shared" si="3"/>
        <v>5519.4756065556685</v>
      </c>
      <c r="I53" s="14">
        <f t="shared" si="3"/>
        <v>0</v>
      </c>
      <c r="J53" s="14">
        <f t="shared" si="3"/>
        <v>0</v>
      </c>
      <c r="K53" s="14">
        <f t="shared" si="3"/>
        <v>0</v>
      </c>
      <c r="L53" s="14">
        <f t="shared" si="3"/>
        <v>0</v>
      </c>
      <c r="M53" s="14">
        <f t="shared" si="3"/>
        <v>0</v>
      </c>
      <c r="N53" s="14">
        <f t="shared" si="3"/>
        <v>30613.081040681544</v>
      </c>
    </row>
    <row r="54" spans="1:14">
      <c r="A54" s="13" t="s">
        <v>234</v>
      </c>
      <c r="B54" s="14">
        <f>(B12*(1+$O$17))+B28</f>
        <v>10928.91748171186</v>
      </c>
      <c r="C54" s="14">
        <f t="shared" ref="C54:N54" si="4">(C12*(1+$O$17))+C28</f>
        <v>14693.764220909146</v>
      </c>
      <c r="D54" s="14">
        <f t="shared" si="4"/>
        <v>0</v>
      </c>
      <c r="E54" s="14">
        <f t="shared" si="4"/>
        <v>23886.998035561286</v>
      </c>
      <c r="F54" s="14">
        <f t="shared" si="4"/>
        <v>0</v>
      </c>
      <c r="G54" s="14">
        <f t="shared" si="4"/>
        <v>4897.9214069697155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54407.60114515201</v>
      </c>
    </row>
    <row r="58" spans="1:14">
      <c r="A58" s="258" t="s">
        <v>1</v>
      </c>
      <c r="B58" s="259">
        <f>B2</f>
        <v>290504767</v>
      </c>
      <c r="C58" s="259">
        <f t="shared" ref="C58:M58" si="5">C2</f>
        <v>304511145</v>
      </c>
      <c r="D58" s="259">
        <f t="shared" si="5"/>
        <v>309415143</v>
      </c>
      <c r="E58" s="259">
        <f t="shared" si="5"/>
        <v>311856596</v>
      </c>
      <c r="F58" s="259">
        <f t="shared" si="5"/>
        <v>312069591</v>
      </c>
      <c r="G58" s="259">
        <f t="shared" si="5"/>
        <v>295791970</v>
      </c>
      <c r="H58" s="259">
        <f t="shared" si="5"/>
        <v>254401486</v>
      </c>
      <c r="I58" s="259">
        <f t="shared" si="5"/>
        <v>0</v>
      </c>
      <c r="J58" s="259">
        <f t="shared" si="5"/>
        <v>0</v>
      </c>
      <c r="K58" s="259">
        <f t="shared" si="5"/>
        <v>0</v>
      </c>
      <c r="L58" s="259">
        <f t="shared" si="5"/>
        <v>0</v>
      </c>
      <c r="M58" s="259">
        <f t="shared" si="5"/>
        <v>0</v>
      </c>
      <c r="N58" s="260"/>
    </row>
    <row r="59" spans="1:14">
      <c r="A59" s="258" t="s">
        <v>549</v>
      </c>
      <c r="B59" s="250">
        <f>IF(B58&gt;0,B9/B2,"")</f>
        <v>6.0518524985168302E-4</v>
      </c>
      <c r="C59" s="250">
        <f t="shared" ref="C59:M59" si="6">IF(C58&gt;0,C9/C2,"")</f>
        <v>5.8541463236099292E-4</v>
      </c>
      <c r="D59" s="250">
        <f t="shared" si="6"/>
        <v>5.9200573774115511E-4</v>
      </c>
      <c r="E59" s="250">
        <f t="shared" si="6"/>
        <v>6.15522719294993E-4</v>
      </c>
      <c r="F59" s="250">
        <f t="shared" si="6"/>
        <v>6.1657497413773971E-4</v>
      </c>
      <c r="G59" s="250">
        <f t="shared" si="6"/>
        <v>6.3406670573241074E-4</v>
      </c>
      <c r="H59" s="250">
        <f t="shared" si="6"/>
        <v>6.8929086365478241E-4</v>
      </c>
      <c r="I59" s="250" t="str">
        <f t="shared" si="6"/>
        <v/>
      </c>
      <c r="J59" s="250" t="str">
        <f t="shared" si="6"/>
        <v/>
      </c>
      <c r="K59" s="250" t="str">
        <f t="shared" si="6"/>
        <v/>
      </c>
      <c r="L59" s="250" t="str">
        <f t="shared" si="6"/>
        <v/>
      </c>
      <c r="M59" s="250" t="str">
        <f t="shared" si="6"/>
        <v/>
      </c>
      <c r="N59" s="252">
        <f>AVERAGE(B59:E59)</f>
        <v>5.9953208481220593E-4</v>
      </c>
    </row>
    <row r="60" spans="1:14">
      <c r="A60" s="258" t="s">
        <v>550</v>
      </c>
      <c r="B60" s="250">
        <f>IF(B58&gt;0,B10/B2,"")</f>
        <v>5.060157928492788E-5</v>
      </c>
      <c r="C60" s="250">
        <f t="shared" ref="C60:M60" si="7">IF(C58&gt;0,C10/C2,"")</f>
        <v>6.2066693815098295E-5</v>
      </c>
      <c r="D60" s="250">
        <f t="shared" si="7"/>
        <v>3.3611800311919445E-5</v>
      </c>
      <c r="E60" s="250">
        <f t="shared" si="7"/>
        <v>2.0842913324174165E-5</v>
      </c>
      <c r="F60" s="250">
        <f t="shared" si="7"/>
        <v>2.0828687534633902E-5</v>
      </c>
      <c r="G60" s="250">
        <f t="shared" si="7"/>
        <v>0</v>
      </c>
      <c r="H60" s="250">
        <f t="shared" si="7"/>
        <v>7.1815618246821091E-5</v>
      </c>
      <c r="I60" s="250" t="str">
        <f t="shared" si="7"/>
        <v/>
      </c>
      <c r="J60" s="250" t="str">
        <f t="shared" si="7"/>
        <v/>
      </c>
      <c r="K60" s="250" t="str">
        <f t="shared" si="7"/>
        <v/>
      </c>
      <c r="L60" s="250" t="str">
        <f t="shared" si="7"/>
        <v/>
      </c>
      <c r="M60" s="250" t="str">
        <f t="shared" si="7"/>
        <v/>
      </c>
      <c r="N60" s="252">
        <f>AVERAGE(B60:E60)</f>
        <v>4.1780746684029944E-5</v>
      </c>
    </row>
    <row r="61" spans="1:14">
      <c r="A61" s="258" t="s">
        <v>234</v>
      </c>
      <c r="B61" s="249">
        <f>B12</f>
        <v>15346</v>
      </c>
      <c r="C61" s="249">
        <f t="shared" ref="C61:D61" si="8">C12</f>
        <v>18715.86</v>
      </c>
      <c r="D61" s="249" t="str">
        <f t="shared" si="8"/>
        <v>0,00</v>
      </c>
      <c r="E61" s="249">
        <f>E12</f>
        <v>30425.54</v>
      </c>
      <c r="N61" s="254">
        <f>AVERAGE(B61:E61)</f>
        <v>21495.8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BA72-9177-A94F-9577-61B18A3E8937}">
  <dimension ref="A2:N56"/>
  <sheetViews>
    <sheetView topLeftCell="A2" zoomScale="92" zoomScaleNormal="92" workbookViewId="0">
      <selection activeCell="Q34" sqref="Q34"/>
    </sheetView>
  </sheetViews>
  <sheetFormatPr baseColWidth="10" defaultColWidth="15" defaultRowHeight="15"/>
  <cols>
    <col min="1" max="1" width="46.6640625" style="199" customWidth="1"/>
    <col min="2" max="14" width="13.5" style="199" customWidth="1"/>
    <col min="15" max="16384" width="15" style="199"/>
  </cols>
  <sheetData>
    <row r="2" spans="1:14">
      <c r="A2" s="246" t="s">
        <v>1</v>
      </c>
      <c r="B2" s="200">
        <f>Consolidated!E4</f>
        <v>290504767</v>
      </c>
      <c r="C2" s="200">
        <f>Consolidated!F4</f>
        <v>304511145</v>
      </c>
      <c r="D2" s="200">
        <f>Consolidated!G4</f>
        <v>309415143</v>
      </c>
      <c r="E2" s="200">
        <f>Consolidated!H4</f>
        <v>311856596</v>
      </c>
      <c r="F2" s="200">
        <f>Consolidated!I4</f>
        <v>312069591</v>
      </c>
      <c r="G2" s="200">
        <f>Consolidated!J4</f>
        <v>295791970</v>
      </c>
      <c r="H2" s="200">
        <f>Consolidated!K4</f>
        <v>254401486</v>
      </c>
      <c r="I2" s="200">
        <f>Consolidated!L4</f>
        <v>0</v>
      </c>
      <c r="J2" s="200">
        <f>Consolidated!M4</f>
        <v>0</v>
      </c>
      <c r="K2" s="200">
        <f>Consolidated!N4</f>
        <v>0</v>
      </c>
      <c r="L2" s="200">
        <f>Consolidated!O4</f>
        <v>0</v>
      </c>
      <c r="M2" s="200">
        <f>Consolidated!P4</f>
        <v>0</v>
      </c>
    </row>
    <row r="6" spans="1:14">
      <c r="A6" s="201" t="s">
        <v>4</v>
      </c>
      <c r="B6" s="201" t="s">
        <v>5</v>
      </c>
    </row>
    <row r="7" spans="1:14" ht="16">
      <c r="A7" s="288" t="s">
        <v>6</v>
      </c>
      <c r="B7" s="293" t="s">
        <v>526</v>
      </c>
      <c r="C7" s="293" t="s">
        <v>525</v>
      </c>
      <c r="D7" s="293" t="s">
        <v>524</v>
      </c>
      <c r="E7" s="293" t="s">
        <v>523</v>
      </c>
      <c r="F7" s="294">
        <v>46143</v>
      </c>
      <c r="G7" s="294">
        <v>46174</v>
      </c>
      <c r="H7" s="294">
        <v>46204</v>
      </c>
      <c r="I7" s="294">
        <v>46235</v>
      </c>
      <c r="J7" s="294">
        <v>46266</v>
      </c>
      <c r="K7" s="294">
        <v>46296</v>
      </c>
      <c r="L7" s="294">
        <v>46327</v>
      </c>
      <c r="M7" s="294">
        <v>46357</v>
      </c>
      <c r="N7" s="293" t="s">
        <v>150</v>
      </c>
    </row>
    <row r="8" spans="1:14">
      <c r="A8" s="291" t="s">
        <v>9</v>
      </c>
      <c r="B8" s="292">
        <v>42588.730000000025</v>
      </c>
      <c r="C8" s="292">
        <v>34365.1</v>
      </c>
      <c r="D8" s="292">
        <v>44620.810000000049</v>
      </c>
      <c r="E8" s="292">
        <v>36640.270000000026</v>
      </c>
      <c r="F8" s="292">
        <v>44420.280000000006</v>
      </c>
      <c r="G8" s="292">
        <v>24067.409999999989</v>
      </c>
      <c r="H8" s="292">
        <v>52992.460000000043</v>
      </c>
      <c r="I8" s="292"/>
      <c r="J8" s="292"/>
      <c r="K8" s="292"/>
      <c r="L8" s="292"/>
      <c r="M8" s="292"/>
      <c r="N8" s="292">
        <f>SUM(B8:M8)</f>
        <v>279695.06000000011</v>
      </c>
    </row>
    <row r="9" spans="1:14">
      <c r="A9" s="295" t="s">
        <v>531</v>
      </c>
      <c r="B9" s="290">
        <v>2129.2399999999998</v>
      </c>
      <c r="C9" s="290">
        <v>4080.01</v>
      </c>
      <c r="D9" s="290">
        <v>7882.59</v>
      </c>
      <c r="E9" s="290">
        <v>3358.51</v>
      </c>
      <c r="F9" s="290">
        <v>4335.0199999999995</v>
      </c>
      <c r="G9" s="290" t="s">
        <v>13</v>
      </c>
      <c r="H9" s="290">
        <v>5592.59</v>
      </c>
      <c r="I9" s="290"/>
      <c r="J9" s="290"/>
      <c r="K9" s="290"/>
      <c r="L9" s="290"/>
      <c r="M9" s="290"/>
      <c r="N9" s="290">
        <f t="shared" ref="N9:N47" si="0">SUM(B9:M9)</f>
        <v>27377.96</v>
      </c>
    </row>
    <row r="10" spans="1:14">
      <c r="A10" s="202" t="s">
        <v>530</v>
      </c>
      <c r="B10" s="200">
        <v>11277.599999999999</v>
      </c>
      <c r="C10" s="200">
        <v>11277.599999999999</v>
      </c>
      <c r="D10" s="200">
        <v>11277.599999999999</v>
      </c>
      <c r="E10" s="200">
        <v>11277.599999999999</v>
      </c>
      <c r="F10" s="200">
        <v>11277.599999999999</v>
      </c>
      <c r="G10" s="200" t="s">
        <v>13</v>
      </c>
      <c r="H10" s="200">
        <v>17767.199999999997</v>
      </c>
      <c r="I10" s="200"/>
      <c r="J10" s="200"/>
      <c r="K10" s="200"/>
      <c r="L10" s="200"/>
      <c r="M10" s="200"/>
      <c r="N10" s="200">
        <f t="shared" si="0"/>
        <v>74155.199999999983</v>
      </c>
    </row>
    <row r="11" spans="1:14">
      <c r="A11" s="202" t="s">
        <v>529</v>
      </c>
      <c r="B11" s="200">
        <v>4958.3600000000006</v>
      </c>
      <c r="C11" s="200">
        <v>4860.2800000000007</v>
      </c>
      <c r="D11" s="200">
        <v>6325.2800000000016</v>
      </c>
      <c r="E11" s="200">
        <v>5913.91</v>
      </c>
      <c r="F11" s="200">
        <v>2187.119999999999</v>
      </c>
      <c r="G11" s="200">
        <v>3486.4800000000005</v>
      </c>
      <c r="H11" s="200">
        <v>3208.11</v>
      </c>
      <c r="I11" s="200"/>
      <c r="J11" s="200"/>
      <c r="K11" s="200"/>
      <c r="L11" s="200"/>
      <c r="M11" s="200"/>
      <c r="N11" s="200">
        <f t="shared" si="0"/>
        <v>30939.54</v>
      </c>
    </row>
    <row r="12" spans="1:14">
      <c r="A12" s="202" t="s">
        <v>528</v>
      </c>
      <c r="B12" s="200">
        <v>20365.39</v>
      </c>
      <c r="C12" s="200">
        <v>11096.949999999997</v>
      </c>
      <c r="D12" s="200">
        <v>13782.609999999993</v>
      </c>
      <c r="E12" s="200">
        <v>11693.059999999998</v>
      </c>
      <c r="F12" s="200">
        <v>19858.710000000003</v>
      </c>
      <c r="G12" s="200">
        <v>16176.26</v>
      </c>
      <c r="H12" s="200">
        <v>19179.52</v>
      </c>
      <c r="I12" s="200"/>
      <c r="J12" s="200"/>
      <c r="K12" s="200"/>
      <c r="L12" s="200"/>
      <c r="M12" s="200"/>
      <c r="N12" s="200">
        <f t="shared" si="0"/>
        <v>112152.49999999999</v>
      </c>
    </row>
    <row r="13" spans="1:14">
      <c r="A13" s="288" t="s">
        <v>527</v>
      </c>
      <c r="B13" s="285">
        <v>3858.1399999999994</v>
      </c>
      <c r="C13" s="285">
        <v>3050.2599999999998</v>
      </c>
      <c r="D13" s="285">
        <v>5352.73</v>
      </c>
      <c r="E13" s="285">
        <v>4397.1899999999987</v>
      </c>
      <c r="F13" s="285">
        <v>6761.829999999999</v>
      </c>
      <c r="G13" s="285">
        <v>4404.6699999999992</v>
      </c>
      <c r="H13" s="285">
        <v>7245.0400000000027</v>
      </c>
      <c r="I13" s="285"/>
      <c r="J13" s="285"/>
      <c r="K13" s="285"/>
      <c r="L13" s="285"/>
      <c r="M13" s="285"/>
      <c r="N13" s="285">
        <f t="shared" si="0"/>
        <v>35069.86</v>
      </c>
    </row>
    <row r="14" spans="1:14">
      <c r="A14" s="291" t="s">
        <v>10</v>
      </c>
      <c r="B14" s="292">
        <v>42588.730000000025</v>
      </c>
      <c r="C14" s="292">
        <v>34365.1</v>
      </c>
      <c r="D14" s="292">
        <v>44620.810000000049</v>
      </c>
      <c r="E14" s="292">
        <v>36640.270000000026</v>
      </c>
      <c r="F14" s="292">
        <v>44420.280000000006</v>
      </c>
      <c r="G14" s="292">
        <v>24067.409999999989</v>
      </c>
      <c r="H14" s="292">
        <v>52992.460000000043</v>
      </c>
      <c r="I14" s="292"/>
      <c r="J14" s="292"/>
      <c r="K14" s="292"/>
      <c r="L14" s="292"/>
      <c r="M14" s="292"/>
      <c r="N14" s="292">
        <f t="shared" si="0"/>
        <v>279695.06000000011</v>
      </c>
    </row>
    <row r="15" spans="1:14">
      <c r="A15" s="289" t="s">
        <v>11</v>
      </c>
      <c r="B15" s="290">
        <v>-21072.770000000004</v>
      </c>
      <c r="C15" s="290">
        <v>-17399.400000000001</v>
      </c>
      <c r="D15" s="290">
        <v>-17108.460000000003</v>
      </c>
      <c r="E15" s="290">
        <v>-26182.419999999973</v>
      </c>
      <c r="F15" s="290">
        <v>-17964.840000000004</v>
      </c>
      <c r="G15" s="290">
        <v>-16506.110000000011</v>
      </c>
      <c r="H15" s="290">
        <v>-19508.790000000019</v>
      </c>
      <c r="I15" s="290"/>
      <c r="J15" s="290"/>
      <c r="K15" s="290"/>
      <c r="L15" s="290"/>
      <c r="M15" s="290"/>
      <c r="N15" s="290">
        <f t="shared" si="0"/>
        <v>-135742.79</v>
      </c>
    </row>
    <row r="16" spans="1:14">
      <c r="A16" s="202" t="s">
        <v>12</v>
      </c>
      <c r="B16" s="200">
        <v>-8389.2200000000012</v>
      </c>
      <c r="C16" s="200">
        <v>-1884.97</v>
      </c>
      <c r="D16" s="200">
        <v>-2396.9999999999995</v>
      </c>
      <c r="E16" s="200">
        <v>-8842.0299999999988</v>
      </c>
      <c r="F16" s="200">
        <v>-2316.1999999999998</v>
      </c>
      <c r="G16" s="200">
        <v>-1629.8500000000006</v>
      </c>
      <c r="H16" s="200">
        <v>-11875.59</v>
      </c>
      <c r="I16" s="200"/>
      <c r="J16" s="200"/>
      <c r="K16" s="200"/>
      <c r="L16" s="200"/>
      <c r="M16" s="200"/>
      <c r="N16" s="200">
        <f t="shared" si="0"/>
        <v>-37334.86</v>
      </c>
    </row>
    <row r="17" spans="1:14">
      <c r="A17" s="202" t="s">
        <v>516</v>
      </c>
      <c r="B17" s="200">
        <v>-10887.619999999999</v>
      </c>
      <c r="C17" s="200">
        <v>-13833.489999999998</v>
      </c>
      <c r="D17" s="200">
        <v>-11755.75</v>
      </c>
      <c r="E17" s="200">
        <v>-14623.74</v>
      </c>
      <c r="F17" s="200">
        <v>-11725.189999999999</v>
      </c>
      <c r="G17" s="200">
        <v>-13404.29</v>
      </c>
      <c r="H17" s="200">
        <v>-5997.5999999999995</v>
      </c>
      <c r="I17" s="200"/>
      <c r="J17" s="200"/>
      <c r="K17" s="200"/>
      <c r="L17" s="200"/>
      <c r="M17" s="200"/>
      <c r="N17" s="200">
        <f t="shared" si="0"/>
        <v>-82227.679999999993</v>
      </c>
    </row>
    <row r="18" spans="1:14">
      <c r="A18" s="202" t="s">
        <v>515</v>
      </c>
      <c r="B18" s="200">
        <v>0</v>
      </c>
      <c r="C18" s="200" t="s">
        <v>13</v>
      </c>
      <c r="D18" s="200" t="s">
        <v>13</v>
      </c>
      <c r="E18" s="200" t="s">
        <v>13</v>
      </c>
      <c r="F18" s="200" t="s">
        <v>13</v>
      </c>
      <c r="G18" s="200" t="s">
        <v>13</v>
      </c>
      <c r="H18" s="200" t="s">
        <v>13</v>
      </c>
      <c r="I18" s="200"/>
      <c r="J18" s="200"/>
      <c r="K18" s="200"/>
      <c r="L18" s="200"/>
      <c r="M18" s="200"/>
      <c r="N18" s="200">
        <f t="shared" si="0"/>
        <v>0</v>
      </c>
    </row>
    <row r="19" spans="1:14">
      <c r="A19" s="202" t="s">
        <v>514</v>
      </c>
      <c r="B19" s="200">
        <v>0</v>
      </c>
      <c r="C19" s="200" t="s">
        <v>13</v>
      </c>
      <c r="D19" s="200" t="s">
        <v>13</v>
      </c>
      <c r="E19" s="200" t="s">
        <v>13</v>
      </c>
      <c r="F19" s="200" t="s">
        <v>13</v>
      </c>
      <c r="G19" s="200" t="s">
        <v>13</v>
      </c>
      <c r="H19" s="200" t="s">
        <v>13</v>
      </c>
      <c r="I19" s="200"/>
      <c r="J19" s="200"/>
      <c r="K19" s="200"/>
      <c r="L19" s="200"/>
      <c r="M19" s="200"/>
      <c r="N19" s="200">
        <f t="shared" si="0"/>
        <v>0</v>
      </c>
    </row>
    <row r="20" spans="1:14">
      <c r="A20" s="202" t="s">
        <v>513</v>
      </c>
      <c r="B20" s="200">
        <v>-1163.7199999999998</v>
      </c>
      <c r="C20" s="200">
        <v>-1319.6100000000001</v>
      </c>
      <c r="D20" s="200">
        <v>-2497.9800000000005</v>
      </c>
      <c r="E20" s="200">
        <v>-1950.6299999999999</v>
      </c>
      <c r="F20" s="200">
        <v>-3298.79</v>
      </c>
      <c r="G20" s="200">
        <v>-1471.97</v>
      </c>
      <c r="H20" s="200">
        <v>-55.4</v>
      </c>
      <c r="I20" s="200"/>
      <c r="J20" s="200"/>
      <c r="K20" s="200"/>
      <c r="L20" s="200"/>
      <c r="M20" s="200"/>
      <c r="N20" s="200">
        <f t="shared" si="0"/>
        <v>-11758.099999999999</v>
      </c>
    </row>
    <row r="21" spans="1:14">
      <c r="A21" s="288" t="s">
        <v>512</v>
      </c>
      <c r="B21" s="285">
        <v>-632.21</v>
      </c>
      <c r="C21" s="285">
        <v>-361.33</v>
      </c>
      <c r="D21" s="285">
        <v>-457.73</v>
      </c>
      <c r="E21" s="285">
        <v>-766.02</v>
      </c>
      <c r="F21" s="285">
        <v>-624.66</v>
      </c>
      <c r="G21" s="285">
        <v>0</v>
      </c>
      <c r="H21" s="285">
        <v>-1580.2</v>
      </c>
      <c r="I21" s="285"/>
      <c r="J21" s="285"/>
      <c r="K21" s="285"/>
      <c r="L21" s="285"/>
      <c r="M21" s="285"/>
      <c r="N21" s="285">
        <f t="shared" si="0"/>
        <v>-4422.1499999999996</v>
      </c>
    </row>
    <row r="22" spans="1:14">
      <c r="A22" s="291" t="s">
        <v>14</v>
      </c>
      <c r="B22" s="292">
        <v>21515.960000000021</v>
      </c>
      <c r="C22" s="292">
        <v>16965.699999999997</v>
      </c>
      <c r="D22" s="292">
        <v>27512.350000000046</v>
      </c>
      <c r="E22" s="292">
        <v>10457.850000000053</v>
      </c>
      <c r="F22" s="292">
        <v>26455.440000000002</v>
      </c>
      <c r="G22" s="292">
        <v>7561.2999999999774</v>
      </c>
      <c r="H22" s="292">
        <v>33483.670000000027</v>
      </c>
      <c r="I22" s="292"/>
      <c r="J22" s="292"/>
      <c r="K22" s="292"/>
      <c r="L22" s="292"/>
      <c r="M22" s="292"/>
      <c r="N22" s="292">
        <f t="shared" si="0"/>
        <v>143952.27000000014</v>
      </c>
    </row>
    <row r="23" spans="1:14">
      <c r="A23" s="289" t="s">
        <v>15</v>
      </c>
      <c r="B23" s="290">
        <v>-18986.62</v>
      </c>
      <c r="C23" s="290">
        <v>-22249.18</v>
      </c>
      <c r="D23" s="290">
        <v>-15494.049999999997</v>
      </c>
      <c r="E23" s="290">
        <v>-17168.589999999997</v>
      </c>
      <c r="F23" s="290">
        <v>-21352.849999999995</v>
      </c>
      <c r="G23" s="290">
        <v>-19144.68</v>
      </c>
      <c r="H23" s="290">
        <v>-16275.979999999998</v>
      </c>
      <c r="I23" s="290"/>
      <c r="J23" s="290"/>
      <c r="K23" s="290"/>
      <c r="L23" s="290"/>
      <c r="M23" s="290"/>
      <c r="N23" s="290">
        <f t="shared" si="0"/>
        <v>-130671.95</v>
      </c>
    </row>
    <row r="24" spans="1:14">
      <c r="A24" s="202" t="s">
        <v>511</v>
      </c>
      <c r="B24" s="200">
        <v>-18767.099999999999</v>
      </c>
      <c r="C24" s="200">
        <v>-22249.18</v>
      </c>
      <c r="D24" s="200">
        <v>-15494.049999999997</v>
      </c>
      <c r="E24" s="200">
        <v>-17168.589999999997</v>
      </c>
      <c r="F24" s="200">
        <v>-21352.849999999995</v>
      </c>
      <c r="G24" s="200">
        <v>-19144.68</v>
      </c>
      <c r="H24" s="200">
        <v>-16275.979999999998</v>
      </c>
      <c r="I24" s="200"/>
      <c r="J24" s="200"/>
      <c r="K24" s="200"/>
      <c r="L24" s="200"/>
      <c r="M24" s="200"/>
      <c r="N24" s="200">
        <f t="shared" si="0"/>
        <v>-130452.42999999998</v>
      </c>
    </row>
    <row r="25" spans="1:14">
      <c r="A25" s="202" t="s">
        <v>510</v>
      </c>
      <c r="B25" s="200">
        <v>-219.52</v>
      </c>
      <c r="C25" s="200" t="s">
        <v>13</v>
      </c>
      <c r="D25" s="200" t="s">
        <v>13</v>
      </c>
      <c r="E25" s="200" t="s">
        <v>13</v>
      </c>
      <c r="F25" s="200" t="s">
        <v>13</v>
      </c>
      <c r="G25" s="200" t="s">
        <v>13</v>
      </c>
      <c r="H25" s="200" t="s">
        <v>13</v>
      </c>
      <c r="I25" s="200"/>
      <c r="J25" s="200"/>
      <c r="K25" s="200"/>
      <c r="L25" s="200"/>
      <c r="M25" s="200"/>
      <c r="N25" s="200">
        <f t="shared" si="0"/>
        <v>-219.52</v>
      </c>
    </row>
    <row r="26" spans="1:14">
      <c r="A26" s="202" t="s">
        <v>509</v>
      </c>
      <c r="B26" s="200">
        <v>0</v>
      </c>
      <c r="C26" s="200" t="s">
        <v>13</v>
      </c>
      <c r="D26" s="200" t="s">
        <v>13</v>
      </c>
      <c r="E26" s="200" t="s">
        <v>13</v>
      </c>
      <c r="F26" s="200" t="s">
        <v>13</v>
      </c>
      <c r="G26" s="200" t="s">
        <v>13</v>
      </c>
      <c r="H26" s="200" t="s">
        <v>13</v>
      </c>
      <c r="I26" s="200"/>
      <c r="J26" s="200"/>
      <c r="K26" s="200"/>
      <c r="L26" s="200"/>
      <c r="M26" s="200"/>
      <c r="N26" s="200">
        <f t="shared" si="0"/>
        <v>0</v>
      </c>
    </row>
    <row r="27" spans="1:14">
      <c r="A27" s="202" t="s">
        <v>508</v>
      </c>
      <c r="B27" s="200">
        <v>0</v>
      </c>
      <c r="C27" s="200" t="s">
        <v>13</v>
      </c>
      <c r="D27" s="200" t="s">
        <v>13</v>
      </c>
      <c r="E27" s="200" t="s">
        <v>13</v>
      </c>
      <c r="F27" s="200" t="s">
        <v>13</v>
      </c>
      <c r="G27" s="200" t="s">
        <v>13</v>
      </c>
      <c r="H27" s="200" t="s">
        <v>13</v>
      </c>
      <c r="I27" s="200"/>
      <c r="J27" s="200"/>
      <c r="K27" s="200"/>
      <c r="L27" s="200"/>
      <c r="M27" s="200"/>
      <c r="N27" s="200">
        <f t="shared" si="0"/>
        <v>0</v>
      </c>
    </row>
    <row r="28" spans="1:14">
      <c r="A28" s="288" t="s">
        <v>507</v>
      </c>
      <c r="B28" s="285">
        <v>0</v>
      </c>
      <c r="C28" s="285" t="s">
        <v>13</v>
      </c>
      <c r="D28" s="285" t="s">
        <v>13</v>
      </c>
      <c r="E28" s="285" t="s">
        <v>13</v>
      </c>
      <c r="F28" s="285" t="s">
        <v>13</v>
      </c>
      <c r="G28" s="285" t="s">
        <v>13</v>
      </c>
      <c r="H28" s="285" t="s">
        <v>13</v>
      </c>
      <c r="I28" s="285"/>
      <c r="J28" s="285"/>
      <c r="K28" s="285"/>
      <c r="L28" s="285"/>
      <c r="M28" s="285"/>
      <c r="N28" s="285">
        <f t="shared" si="0"/>
        <v>0</v>
      </c>
    </row>
    <row r="29" spans="1:14">
      <c r="A29" s="291" t="s">
        <v>16</v>
      </c>
      <c r="B29" s="292">
        <v>2529.340000000022</v>
      </c>
      <c r="C29" s="292">
        <v>-5283.4800000000032</v>
      </c>
      <c r="D29" s="292">
        <v>12018.300000000048</v>
      </c>
      <c r="E29" s="292">
        <v>-6710.7399999999434</v>
      </c>
      <c r="F29" s="292">
        <v>5102.5900000000074</v>
      </c>
      <c r="G29" s="292">
        <v>-11583.380000000023</v>
      </c>
      <c r="H29" s="292">
        <v>17207.690000000031</v>
      </c>
      <c r="I29" s="292"/>
      <c r="J29" s="292"/>
      <c r="K29" s="292"/>
      <c r="L29" s="292"/>
      <c r="M29" s="292"/>
      <c r="N29" s="292">
        <f t="shared" si="0"/>
        <v>13280.32000000014</v>
      </c>
    </row>
    <row r="30" spans="1:14">
      <c r="A30" s="289" t="s">
        <v>17</v>
      </c>
      <c r="B30" s="290">
        <v>-758.77</v>
      </c>
      <c r="C30" s="290">
        <v>-1958.77</v>
      </c>
      <c r="D30" s="290">
        <v>-851.16</v>
      </c>
      <c r="E30" s="290">
        <v>-807.81</v>
      </c>
      <c r="F30" s="290">
        <v>-787.76</v>
      </c>
      <c r="G30" s="290">
        <v>-829.7399999999999</v>
      </c>
      <c r="H30" s="290">
        <v>-656.45</v>
      </c>
      <c r="I30" s="290"/>
      <c r="J30" s="290"/>
      <c r="K30" s="290"/>
      <c r="L30" s="290"/>
      <c r="M30" s="290"/>
      <c r="N30" s="290">
        <f t="shared" si="0"/>
        <v>-6650.46</v>
      </c>
    </row>
    <row r="31" spans="1:14">
      <c r="A31" s="202" t="s">
        <v>506</v>
      </c>
      <c r="B31" s="200">
        <v>0</v>
      </c>
      <c r="C31" s="200" t="s">
        <v>13</v>
      </c>
      <c r="D31" s="200" t="s">
        <v>13</v>
      </c>
      <c r="E31" s="200" t="s">
        <v>13</v>
      </c>
      <c r="F31" s="200" t="s">
        <v>13</v>
      </c>
      <c r="G31" s="200" t="s">
        <v>13</v>
      </c>
      <c r="H31" s="200" t="s">
        <v>13</v>
      </c>
      <c r="I31" s="200"/>
      <c r="J31" s="200"/>
      <c r="K31" s="200"/>
      <c r="L31" s="200"/>
      <c r="M31" s="200"/>
      <c r="N31" s="200">
        <f t="shared" si="0"/>
        <v>0</v>
      </c>
    </row>
    <row r="32" spans="1:14">
      <c r="A32" s="202" t="s">
        <v>505</v>
      </c>
      <c r="B32" s="200">
        <v>0</v>
      </c>
      <c r="C32" s="200" t="s">
        <v>13</v>
      </c>
      <c r="D32" s="200" t="s">
        <v>13</v>
      </c>
      <c r="E32" s="200" t="s">
        <v>13</v>
      </c>
      <c r="F32" s="200" t="s">
        <v>13</v>
      </c>
      <c r="G32" s="200" t="s">
        <v>13</v>
      </c>
      <c r="H32" s="200" t="s">
        <v>13</v>
      </c>
      <c r="I32" s="200"/>
      <c r="J32" s="200"/>
      <c r="K32" s="200"/>
      <c r="L32" s="200"/>
      <c r="M32" s="200"/>
      <c r="N32" s="200">
        <f t="shared" si="0"/>
        <v>0</v>
      </c>
    </row>
    <row r="33" spans="1:14">
      <c r="A33" s="202" t="s">
        <v>504</v>
      </c>
      <c r="B33" s="200">
        <v>0</v>
      </c>
      <c r="C33" s="200" t="s">
        <v>13</v>
      </c>
      <c r="D33" s="200" t="s">
        <v>13</v>
      </c>
      <c r="E33" s="200" t="s">
        <v>13</v>
      </c>
      <c r="F33" s="200" t="s">
        <v>13</v>
      </c>
      <c r="G33" s="200" t="s">
        <v>13</v>
      </c>
      <c r="H33" s="200" t="s">
        <v>13</v>
      </c>
      <c r="I33" s="200"/>
      <c r="J33" s="200"/>
      <c r="K33" s="200"/>
      <c r="L33" s="200"/>
      <c r="M33" s="200"/>
      <c r="N33" s="200">
        <f t="shared" si="0"/>
        <v>0</v>
      </c>
    </row>
    <row r="34" spans="1:14">
      <c r="A34" s="202" t="s">
        <v>503</v>
      </c>
      <c r="B34" s="200" t="s">
        <v>13</v>
      </c>
      <c r="C34" s="200">
        <v>-1200</v>
      </c>
      <c r="D34" s="200">
        <v>-63.4</v>
      </c>
      <c r="E34" s="200">
        <v>-20.05</v>
      </c>
      <c r="F34" s="200" t="s">
        <v>13</v>
      </c>
      <c r="G34" s="200" t="s">
        <v>13</v>
      </c>
      <c r="H34" s="200" t="s">
        <v>13</v>
      </c>
      <c r="I34" s="200"/>
      <c r="J34" s="200"/>
      <c r="K34" s="200"/>
      <c r="L34" s="200"/>
      <c r="M34" s="200"/>
      <c r="N34" s="200">
        <f t="shared" si="0"/>
        <v>-1283.45</v>
      </c>
    </row>
    <row r="35" spans="1:14">
      <c r="A35" s="202" t="s">
        <v>502</v>
      </c>
      <c r="B35" s="200" t="s">
        <v>13</v>
      </c>
      <c r="C35" s="200" t="s">
        <v>13</v>
      </c>
      <c r="D35" s="200" t="s">
        <v>13</v>
      </c>
      <c r="E35" s="200" t="s">
        <v>13</v>
      </c>
      <c r="F35" s="200" t="s">
        <v>13</v>
      </c>
      <c r="G35" s="200">
        <v>-476.09999999999997</v>
      </c>
      <c r="H35" s="200">
        <v>-72</v>
      </c>
      <c r="I35" s="200"/>
      <c r="J35" s="200"/>
      <c r="K35" s="200"/>
      <c r="L35" s="200"/>
      <c r="M35" s="200"/>
      <c r="N35" s="200">
        <f t="shared" si="0"/>
        <v>-548.09999999999991</v>
      </c>
    </row>
    <row r="36" spans="1:14">
      <c r="A36" s="202" t="s">
        <v>501</v>
      </c>
      <c r="B36" s="200">
        <v>-758.77</v>
      </c>
      <c r="C36" s="200">
        <v>-758.77</v>
      </c>
      <c r="D36" s="200">
        <v>-787.76</v>
      </c>
      <c r="E36" s="200">
        <v>-787.76</v>
      </c>
      <c r="F36" s="200">
        <v>-787.76</v>
      </c>
      <c r="G36" s="200">
        <v>-353.64</v>
      </c>
      <c r="H36" s="200">
        <v>-584.45000000000005</v>
      </c>
      <c r="I36" s="200"/>
      <c r="J36" s="200"/>
      <c r="K36" s="200"/>
      <c r="L36" s="200"/>
      <c r="M36" s="200"/>
      <c r="N36" s="200">
        <f t="shared" si="0"/>
        <v>-4818.9100000000008</v>
      </c>
    </row>
    <row r="37" spans="1:14">
      <c r="A37" s="202" t="s">
        <v>500</v>
      </c>
      <c r="B37" s="200">
        <v>0</v>
      </c>
      <c r="C37" s="200" t="s">
        <v>13</v>
      </c>
      <c r="D37" s="200" t="s">
        <v>13</v>
      </c>
      <c r="E37" s="200" t="s">
        <v>13</v>
      </c>
      <c r="F37" s="200" t="s">
        <v>13</v>
      </c>
      <c r="G37" s="200" t="s">
        <v>13</v>
      </c>
      <c r="H37" s="200" t="s">
        <v>13</v>
      </c>
      <c r="I37" s="200"/>
      <c r="J37" s="200"/>
      <c r="K37" s="200"/>
      <c r="L37" s="200"/>
      <c r="M37" s="200"/>
      <c r="N37" s="200">
        <f t="shared" si="0"/>
        <v>0</v>
      </c>
    </row>
    <row r="38" spans="1:14">
      <c r="A38" s="202" t="s">
        <v>499</v>
      </c>
      <c r="B38" s="200">
        <v>0</v>
      </c>
      <c r="C38" s="200" t="s">
        <v>13</v>
      </c>
      <c r="D38" s="200" t="s">
        <v>13</v>
      </c>
      <c r="E38" s="200" t="s">
        <v>13</v>
      </c>
      <c r="F38" s="200" t="s">
        <v>13</v>
      </c>
      <c r="G38" s="200" t="s">
        <v>13</v>
      </c>
      <c r="H38" s="200" t="s">
        <v>13</v>
      </c>
      <c r="I38" s="200"/>
      <c r="J38" s="200"/>
      <c r="K38" s="200"/>
      <c r="L38" s="200"/>
      <c r="M38" s="200"/>
      <c r="N38" s="200">
        <f t="shared" si="0"/>
        <v>0</v>
      </c>
    </row>
    <row r="39" spans="1:14">
      <c r="A39" s="202" t="s">
        <v>498</v>
      </c>
      <c r="B39" s="200">
        <v>0</v>
      </c>
      <c r="C39" s="200" t="s">
        <v>13</v>
      </c>
      <c r="D39" s="200" t="s">
        <v>13</v>
      </c>
      <c r="E39" s="200" t="s">
        <v>13</v>
      </c>
      <c r="F39" s="200" t="s">
        <v>13</v>
      </c>
      <c r="G39" s="200" t="s">
        <v>13</v>
      </c>
      <c r="H39" s="200" t="s">
        <v>13</v>
      </c>
      <c r="I39" s="200"/>
      <c r="J39" s="200"/>
      <c r="K39" s="200"/>
      <c r="L39" s="200"/>
      <c r="M39" s="200"/>
      <c r="N39" s="200">
        <f t="shared" si="0"/>
        <v>0</v>
      </c>
    </row>
    <row r="40" spans="1:14">
      <c r="A40" s="288" t="s">
        <v>497</v>
      </c>
      <c r="B40" s="285">
        <v>0</v>
      </c>
      <c r="C40" s="285" t="s">
        <v>13</v>
      </c>
      <c r="D40" s="285" t="s">
        <v>13</v>
      </c>
      <c r="E40" s="285" t="s">
        <v>13</v>
      </c>
      <c r="F40" s="285" t="s">
        <v>13</v>
      </c>
      <c r="G40" s="285" t="s">
        <v>13</v>
      </c>
      <c r="H40" s="285" t="s">
        <v>13</v>
      </c>
      <c r="I40" s="285"/>
      <c r="J40" s="285"/>
      <c r="K40" s="285"/>
      <c r="L40" s="285"/>
      <c r="M40" s="285"/>
      <c r="N40" s="285">
        <f t="shared" si="0"/>
        <v>0</v>
      </c>
    </row>
    <row r="41" spans="1:14">
      <c r="A41" s="291" t="s">
        <v>18</v>
      </c>
      <c r="B41" s="292">
        <v>1770.570000000022</v>
      </c>
      <c r="C41" s="292">
        <v>-7242.2500000000036</v>
      </c>
      <c r="D41" s="292">
        <v>11167.140000000049</v>
      </c>
      <c r="E41" s="292">
        <v>-7518.5499999999429</v>
      </c>
      <c r="F41" s="292">
        <v>4314.8300000000072</v>
      </c>
      <c r="G41" s="292">
        <v>-12413.120000000023</v>
      </c>
      <c r="H41" s="292">
        <v>16551.240000000031</v>
      </c>
      <c r="I41" s="292"/>
      <c r="J41" s="292"/>
      <c r="K41" s="292"/>
      <c r="L41" s="292"/>
      <c r="M41" s="292"/>
      <c r="N41" s="292">
        <f t="shared" si="0"/>
        <v>6629.8600000001388</v>
      </c>
    </row>
    <row r="42" spans="1:14">
      <c r="A42" s="289" t="s">
        <v>19</v>
      </c>
      <c r="B42" s="290">
        <v>-6.29</v>
      </c>
      <c r="C42" s="290" t="s">
        <v>13</v>
      </c>
      <c r="D42" s="290" t="s">
        <v>13</v>
      </c>
      <c r="E42" s="290" t="s">
        <v>13</v>
      </c>
      <c r="F42" s="290" t="s">
        <v>13</v>
      </c>
      <c r="G42" s="290">
        <v>-13.469999999999999</v>
      </c>
      <c r="H42" s="290" t="s">
        <v>13</v>
      </c>
      <c r="I42" s="290"/>
      <c r="J42" s="290"/>
      <c r="K42" s="290"/>
      <c r="L42" s="290"/>
      <c r="M42" s="290"/>
      <c r="N42" s="290">
        <f t="shared" si="0"/>
        <v>-19.759999999999998</v>
      </c>
    </row>
    <row r="43" spans="1:14">
      <c r="A43" s="296" t="s">
        <v>20</v>
      </c>
      <c r="B43" s="285">
        <v>0</v>
      </c>
      <c r="C43" s="285" t="s">
        <v>13</v>
      </c>
      <c r="D43" s="285" t="s">
        <v>13</v>
      </c>
      <c r="E43" s="285" t="s">
        <v>13</v>
      </c>
      <c r="F43" s="285" t="s">
        <v>13</v>
      </c>
      <c r="G43" s="285" t="s">
        <v>13</v>
      </c>
      <c r="H43" s="285" t="s">
        <v>13</v>
      </c>
      <c r="I43" s="285"/>
      <c r="J43" s="285"/>
      <c r="K43" s="285"/>
      <c r="L43" s="285"/>
      <c r="M43" s="285"/>
      <c r="N43" s="285">
        <f t="shared" si="0"/>
        <v>0</v>
      </c>
    </row>
    <row r="44" spans="1:14">
      <c r="A44" s="291" t="s">
        <v>21</v>
      </c>
      <c r="B44" s="292">
        <v>1764.280000000022</v>
      </c>
      <c r="C44" s="292">
        <v>-7242.2500000000036</v>
      </c>
      <c r="D44" s="292">
        <v>11167.140000000049</v>
      </c>
      <c r="E44" s="292">
        <v>-7518.5499999999429</v>
      </c>
      <c r="F44" s="292">
        <v>4314.8300000000072</v>
      </c>
      <c r="G44" s="292">
        <v>-12426.590000000022</v>
      </c>
      <c r="H44" s="292">
        <v>16551.240000000031</v>
      </c>
      <c r="I44" s="292"/>
      <c r="J44" s="292"/>
      <c r="K44" s="292"/>
      <c r="L44" s="292"/>
      <c r="M44" s="292"/>
      <c r="N44" s="292">
        <f t="shared" si="0"/>
        <v>6610.1000000001404</v>
      </c>
    </row>
    <row r="45" spans="1:14">
      <c r="A45" s="289" t="s">
        <v>22</v>
      </c>
      <c r="B45" s="290">
        <v>0</v>
      </c>
      <c r="C45" s="290" t="s">
        <v>13</v>
      </c>
      <c r="D45" s="290" t="s">
        <v>13</v>
      </c>
      <c r="E45" s="290" t="s">
        <v>13</v>
      </c>
      <c r="F45" s="290" t="s">
        <v>13</v>
      </c>
      <c r="G45" s="290" t="s">
        <v>13</v>
      </c>
      <c r="H45" s="290" t="s">
        <v>13</v>
      </c>
      <c r="I45" s="290"/>
      <c r="J45" s="290"/>
      <c r="K45" s="290"/>
      <c r="L45" s="290"/>
      <c r="M45" s="290"/>
      <c r="N45" s="290">
        <f t="shared" si="0"/>
        <v>0</v>
      </c>
    </row>
    <row r="46" spans="1:14">
      <c r="A46" s="203" t="s">
        <v>532</v>
      </c>
      <c r="B46" s="200">
        <v>0</v>
      </c>
      <c r="C46" s="200" t="s">
        <v>13</v>
      </c>
      <c r="D46" s="200" t="s">
        <v>13</v>
      </c>
      <c r="E46" s="200" t="s">
        <v>13</v>
      </c>
      <c r="F46" s="200" t="s">
        <v>13</v>
      </c>
      <c r="G46" s="200" t="s">
        <v>13</v>
      </c>
      <c r="H46" s="200" t="s">
        <v>13</v>
      </c>
      <c r="I46" s="200"/>
      <c r="J46" s="200"/>
      <c r="K46" s="200"/>
      <c r="L46" s="200"/>
      <c r="M46" s="200"/>
      <c r="N46" s="200">
        <f t="shared" si="0"/>
        <v>0</v>
      </c>
    </row>
    <row r="47" spans="1:14">
      <c r="A47" s="284" t="s">
        <v>533</v>
      </c>
      <c r="B47" s="285">
        <v>0</v>
      </c>
      <c r="C47" s="285" t="s">
        <v>13</v>
      </c>
      <c r="D47" s="285" t="s">
        <v>13</v>
      </c>
      <c r="E47" s="285" t="s">
        <v>13</v>
      </c>
      <c r="F47" s="285" t="s">
        <v>13</v>
      </c>
      <c r="G47" s="285" t="s">
        <v>13</v>
      </c>
      <c r="H47" s="285" t="s">
        <v>13</v>
      </c>
      <c r="I47" s="285"/>
      <c r="J47" s="285"/>
      <c r="K47" s="285"/>
      <c r="L47" s="285"/>
      <c r="M47" s="285"/>
      <c r="N47" s="285">
        <f t="shared" si="0"/>
        <v>0</v>
      </c>
    </row>
    <row r="48" spans="1:14" ht="16" thickBot="1">
      <c r="A48" s="286" t="s">
        <v>23</v>
      </c>
      <c r="B48" s="287">
        <v>1764.280000000022</v>
      </c>
      <c r="C48" s="287">
        <v>-7242.2500000000036</v>
      </c>
      <c r="D48" s="287">
        <v>11167.140000000049</v>
      </c>
      <c r="E48" s="287">
        <v>-7518.5499999999429</v>
      </c>
      <c r="F48" s="287">
        <v>4314.8300000000072</v>
      </c>
      <c r="G48" s="287">
        <v>-12426.590000000022</v>
      </c>
      <c r="H48" s="287">
        <v>16551.240000000031</v>
      </c>
      <c r="I48" s="287"/>
      <c r="J48" s="287"/>
      <c r="K48" s="287"/>
      <c r="L48" s="287"/>
      <c r="M48" s="287"/>
      <c r="N48" s="287">
        <f>SUM(B48:M48)</f>
        <v>6610.1000000001404</v>
      </c>
    </row>
    <row r="49" spans="1:14" ht="16" thickTop="1"/>
    <row r="53" spans="1:14">
      <c r="A53" s="246" t="s">
        <v>1</v>
      </c>
      <c r="B53" s="200">
        <f>B2</f>
        <v>290504767</v>
      </c>
      <c r="C53" s="200">
        <f t="shared" ref="C53:M53" si="1">C2</f>
        <v>304511145</v>
      </c>
      <c r="D53" s="200">
        <f t="shared" si="1"/>
        <v>309415143</v>
      </c>
      <c r="E53" s="200">
        <f t="shared" si="1"/>
        <v>311856596</v>
      </c>
      <c r="F53" s="200">
        <f t="shared" si="1"/>
        <v>312069591</v>
      </c>
      <c r="G53" s="200">
        <f t="shared" si="1"/>
        <v>295791970</v>
      </c>
      <c r="H53" s="200">
        <f t="shared" si="1"/>
        <v>254401486</v>
      </c>
      <c r="I53" s="200">
        <f t="shared" si="1"/>
        <v>0</v>
      </c>
      <c r="J53" s="200">
        <f t="shared" si="1"/>
        <v>0</v>
      </c>
      <c r="K53" s="200">
        <f t="shared" si="1"/>
        <v>0</v>
      </c>
      <c r="L53" s="200">
        <f t="shared" si="1"/>
        <v>0</v>
      </c>
      <c r="M53" s="200">
        <f t="shared" si="1"/>
        <v>0</v>
      </c>
    </row>
    <row r="54" spans="1:14">
      <c r="A54" s="246" t="s">
        <v>548</v>
      </c>
      <c r="B54" s="248">
        <f>IF(B8&gt;0,B8/B53,"")</f>
        <v>1.4660251685301957E-4</v>
      </c>
      <c r="C54" s="248">
        <f t="shared" ref="C54:M54" si="2">IF(C8&gt;0,C8/C53,"")</f>
        <v>1.1285334072091186E-4</v>
      </c>
      <c r="D54" s="248">
        <f t="shared" si="2"/>
        <v>1.4421016879577884E-4</v>
      </c>
      <c r="E54" s="248">
        <f>IF(E8&gt;0,E8/E53,"")</f>
        <v>1.1749076488989838E-4</v>
      </c>
      <c r="F54" s="248">
        <f t="shared" si="2"/>
        <v>1.4234094343399195E-4</v>
      </c>
      <c r="G54" s="248">
        <f t="shared" si="2"/>
        <v>8.1366001923581594E-5</v>
      </c>
      <c r="H54" s="248">
        <f t="shared" si="2"/>
        <v>2.0830247823316582E-4</v>
      </c>
      <c r="I54" s="248" t="str">
        <f t="shared" si="2"/>
        <v/>
      </c>
      <c r="J54" s="248" t="str">
        <f t="shared" si="2"/>
        <v/>
      </c>
      <c r="K54" s="248" t="str">
        <f t="shared" si="2"/>
        <v/>
      </c>
      <c r="L54" s="248" t="str">
        <f t="shared" si="2"/>
        <v/>
      </c>
      <c r="M54" s="248" t="str">
        <f t="shared" si="2"/>
        <v/>
      </c>
      <c r="N54" s="252">
        <f>AVERAGE(B54:E54)</f>
        <v>1.3028919781490217E-4</v>
      </c>
    </row>
    <row r="55" spans="1:14">
      <c r="A55" s="246" t="s">
        <v>546</v>
      </c>
      <c r="B55" s="248">
        <f>IF(B12&gt;0,B12/B53,"")</f>
        <v>7.0103462364182127E-5</v>
      </c>
      <c r="C55" s="248">
        <f t="shared" ref="C55:M55" si="3">IF(C12&gt;0,C12/C53,"")</f>
        <v>3.6441851742405019E-5</v>
      </c>
      <c r="D55" s="248">
        <f t="shared" si="3"/>
        <v>4.4544070682409984E-5</v>
      </c>
      <c r="E55" s="248">
        <f t="shared" si="3"/>
        <v>3.7494990165287372E-5</v>
      </c>
      <c r="F55" s="248">
        <f t="shared" si="3"/>
        <v>6.3635517758601492E-5</v>
      </c>
      <c r="G55" s="248">
        <f t="shared" si="3"/>
        <v>5.4687961948392314E-5</v>
      </c>
      <c r="H55" s="248">
        <f t="shared" si="3"/>
        <v>7.5390754596457038E-5</v>
      </c>
      <c r="I55" s="248" t="str">
        <f t="shared" si="3"/>
        <v/>
      </c>
      <c r="J55" s="248" t="str">
        <f t="shared" si="3"/>
        <v/>
      </c>
      <c r="K55" s="248" t="str">
        <f t="shared" si="3"/>
        <v/>
      </c>
      <c r="L55" s="248" t="str">
        <f t="shared" si="3"/>
        <v/>
      </c>
      <c r="M55" s="248" t="str">
        <f t="shared" si="3"/>
        <v/>
      </c>
      <c r="N55" s="207"/>
    </row>
    <row r="56" spans="1:14">
      <c r="A56" s="246" t="s">
        <v>547</v>
      </c>
      <c r="B56" s="248">
        <f>IF(B11&gt;0,B11/B53,"")</f>
        <v>1.7068084807021431E-5</v>
      </c>
      <c r="C56" s="248">
        <f t="shared" ref="C56:M56" si="4">IF(C11&gt;0,C11/C53,"")</f>
        <v>1.5960926487600316E-5</v>
      </c>
      <c r="D56" s="248">
        <f t="shared" si="4"/>
        <v>2.0442696949709413E-5</v>
      </c>
      <c r="E56" s="248">
        <f>IF(E11&gt;0,E11/E53,"")</f>
        <v>1.8963555928764128E-5</v>
      </c>
      <c r="F56" s="248">
        <f t="shared" si="4"/>
        <v>7.0084367816536121E-6</v>
      </c>
      <c r="G56" s="248">
        <f t="shared" si="4"/>
        <v>1.1786932552631501E-5</v>
      </c>
      <c r="H56" s="248">
        <f t="shared" si="4"/>
        <v>1.2610421623087532E-5</v>
      </c>
      <c r="I56" s="248" t="str">
        <f t="shared" si="4"/>
        <v/>
      </c>
      <c r="J56" s="248" t="str">
        <f t="shared" si="4"/>
        <v/>
      </c>
      <c r="K56" s="248" t="str">
        <f t="shared" si="4"/>
        <v/>
      </c>
      <c r="L56" s="248" t="str">
        <f t="shared" si="4"/>
        <v/>
      </c>
      <c r="M56" s="248" t="str">
        <f t="shared" si="4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A136-7F7B-6F42-8A7C-60A01F67490E}">
  <dimension ref="D2:AB71"/>
  <sheetViews>
    <sheetView topLeftCell="B1" zoomScale="93" zoomScaleNormal="93" workbookViewId="0">
      <selection activeCell="K59" sqref="K59"/>
    </sheetView>
  </sheetViews>
  <sheetFormatPr baseColWidth="10" defaultRowHeight="16" outlineLevelRow="1" outlineLevelCol="1"/>
  <cols>
    <col min="1" max="3" width="10.83203125" style="206"/>
    <col min="4" max="4" width="38" style="206" bestFit="1" customWidth="1"/>
    <col min="5" max="9" width="16.5" style="206" customWidth="1"/>
    <col min="10" max="11" width="16.5" style="206" bestFit="1" customWidth="1"/>
    <col min="12" max="16" width="12.83203125" style="206" customWidth="1" outlineLevel="1"/>
    <col min="17" max="17" width="14.33203125" style="209" customWidth="1"/>
    <col min="18" max="18" width="10.83203125" style="209" customWidth="1"/>
    <col min="19" max="19" width="10.83203125" style="206" customWidth="1"/>
    <col min="20" max="20" width="38" style="206" hidden="1" customWidth="1" outlineLevel="1"/>
    <col min="21" max="21" width="14.33203125" style="206" hidden="1" customWidth="1" outlineLevel="1"/>
    <col min="22" max="22" width="10.83203125" style="206" collapsed="1"/>
    <col min="23" max="23" width="10.83203125" style="206"/>
    <col min="24" max="24" width="18.83203125" style="206" bestFit="1" customWidth="1"/>
    <col min="25" max="16384" width="10.83203125" style="206"/>
  </cols>
  <sheetData>
    <row r="2" spans="4:28">
      <c r="D2" s="6" t="s">
        <v>26</v>
      </c>
      <c r="E2" s="6">
        <f>IF(E4&gt;0,E4/1000,0)</f>
        <v>290504.76699999999</v>
      </c>
      <c r="F2" s="6">
        <f t="shared" ref="F2:P2" si="0">IF(F4&gt;0,F4/1000,0)</f>
        <v>304511.14500000002</v>
      </c>
      <c r="G2" s="6">
        <f t="shared" si="0"/>
        <v>309415.14299999998</v>
      </c>
      <c r="H2" s="6">
        <f t="shared" si="0"/>
        <v>311856.59600000002</v>
      </c>
      <c r="I2" s="6">
        <f t="shared" si="0"/>
        <v>312069.59100000001</v>
      </c>
      <c r="J2" s="6">
        <f t="shared" si="0"/>
        <v>295791.96999999997</v>
      </c>
      <c r="K2" s="6">
        <f t="shared" si="0"/>
        <v>254401.486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</row>
    <row r="4" spans="4:28">
      <c r="D4" s="235" t="s">
        <v>1</v>
      </c>
      <c r="E4" s="236">
        <f>AuM!C76</f>
        <v>290504767</v>
      </c>
      <c r="F4" s="236">
        <f>AuM!C77</f>
        <v>304511145</v>
      </c>
      <c r="G4" s="236">
        <f>AuM!C78</f>
        <v>309415143</v>
      </c>
      <c r="H4" s="237">
        <f>AuM!C79</f>
        <v>311856596</v>
      </c>
      <c r="I4" s="236">
        <f>AuM!C80</f>
        <v>312069591</v>
      </c>
      <c r="J4" s="236">
        <f>AuM!C81</f>
        <v>295791970</v>
      </c>
      <c r="K4" s="237">
        <f>AuM!C82</f>
        <v>254401486</v>
      </c>
      <c r="L4" s="238"/>
      <c r="M4" s="236"/>
      <c r="N4" s="239"/>
      <c r="O4" s="239"/>
      <c r="P4" s="239"/>
      <c r="Q4" s="8" t="s">
        <v>8</v>
      </c>
      <c r="U4" s="8" t="s">
        <v>8</v>
      </c>
    </row>
    <row r="5" spans="4:28">
      <c r="D5" s="231" t="s">
        <v>534</v>
      </c>
      <c r="E5" s="232">
        <f>IF(E4&gt;0,(E7/E4)*12,"")</f>
        <v>1.1667027687707445E-2</v>
      </c>
      <c r="F5" s="233">
        <f t="shared" ref="F5:P5" si="1">IF(F4&gt;0,(F7/F4)*12,"")</f>
        <v>1.123096785176779E-2</v>
      </c>
      <c r="G5" s="234">
        <f t="shared" si="1"/>
        <v>1.0579818971562103E-2</v>
      </c>
      <c r="H5" s="232">
        <f t="shared" si="1"/>
        <v>1.0263203026816853E-2</v>
      </c>
      <c r="I5" s="233">
        <f t="shared" si="1"/>
        <v>1.0664335955758022E-2</v>
      </c>
      <c r="J5" s="234">
        <f t="shared" si="1"/>
        <v>1.2233917100589312E-2</v>
      </c>
      <c r="K5" s="232">
        <f t="shared" si="1"/>
        <v>1.3236671738623416E-2</v>
      </c>
      <c r="L5" s="233" t="str">
        <f t="shared" si="1"/>
        <v/>
      </c>
      <c r="M5" s="234" t="str">
        <f t="shared" si="1"/>
        <v/>
      </c>
      <c r="N5" s="232" t="str">
        <f t="shared" si="1"/>
        <v/>
      </c>
      <c r="O5" s="233" t="str">
        <f t="shared" si="1"/>
        <v/>
      </c>
      <c r="P5" s="234" t="str">
        <f t="shared" si="1"/>
        <v/>
      </c>
      <c r="Q5" s="240">
        <f>AVERAGE(E5:P5)</f>
        <v>1.1410848904689278E-2</v>
      </c>
      <c r="U5" s="261">
        <v>7</v>
      </c>
    </row>
    <row r="6" spans="4:28">
      <c r="D6" s="217" t="s">
        <v>6</v>
      </c>
      <c r="E6" s="224" t="s">
        <v>526</v>
      </c>
      <c r="F6" s="225" t="s">
        <v>525</v>
      </c>
      <c r="G6" s="226" t="s">
        <v>524</v>
      </c>
      <c r="H6" s="224" t="s">
        <v>523</v>
      </c>
      <c r="I6" s="210">
        <v>46143</v>
      </c>
      <c r="J6" s="227">
        <v>46174</v>
      </c>
      <c r="K6" s="228">
        <v>46204</v>
      </c>
      <c r="L6" s="210">
        <v>46235</v>
      </c>
      <c r="M6" s="227">
        <v>46266</v>
      </c>
      <c r="N6" s="228">
        <v>46296</v>
      </c>
      <c r="O6" s="210">
        <v>46327</v>
      </c>
      <c r="P6" s="227">
        <v>46357</v>
      </c>
      <c r="Q6" s="214" t="s">
        <v>150</v>
      </c>
      <c r="U6" s="214" t="s">
        <v>150</v>
      </c>
    </row>
    <row r="7" spans="4:28">
      <c r="D7" s="218" t="s">
        <v>9</v>
      </c>
      <c r="E7" s="212">
        <f>CNS!B8+CRR!B8</f>
        <v>282443.93</v>
      </c>
      <c r="F7" s="208">
        <f>CNS!C8+CRR!C8</f>
        <v>284996.24</v>
      </c>
      <c r="G7" s="208">
        <f>CNS!D8+CRR!D8</f>
        <v>272796.35000000009</v>
      </c>
      <c r="H7" s="212">
        <f>CNS!E8+CRR!E8</f>
        <v>266720.63000000006</v>
      </c>
      <c r="I7" s="208">
        <f>CNS!F8+CRR!F8</f>
        <v>277334.58</v>
      </c>
      <c r="J7" s="208">
        <f>CNS!G8+CRR!G8</f>
        <v>301557.87000000005</v>
      </c>
      <c r="K7" s="212">
        <f>CNS!H8+CRR!H8</f>
        <v>280619.08000000007</v>
      </c>
      <c r="L7" s="208">
        <f>CNS!I8+CRR!I8</f>
        <v>0</v>
      </c>
      <c r="M7" s="208">
        <f>CNS!J8+CRR!J8</f>
        <v>0</v>
      </c>
      <c r="N7" s="212">
        <f>CNS!K8+CRR!K8</f>
        <v>0</v>
      </c>
      <c r="O7" s="208">
        <f>CNS!L8+CRR!L8</f>
        <v>0</v>
      </c>
      <c r="P7" s="208">
        <f>CNS!M8+CRR!M8</f>
        <v>0</v>
      </c>
      <c r="Q7" s="215">
        <f>SUM(E7:P7)</f>
        <v>1966468.6800000004</v>
      </c>
      <c r="T7" s="330" t="s">
        <v>9</v>
      </c>
      <c r="U7" s="215">
        <f>Q7/$U$5</f>
        <v>280924.09714285721</v>
      </c>
    </row>
    <row r="8" spans="4:28">
      <c r="D8" s="219" t="s">
        <v>225</v>
      </c>
      <c r="E8" s="123">
        <f>CNS!B9</f>
        <v>175809.19999999995</v>
      </c>
      <c r="F8" s="6">
        <f>CNS!C9</f>
        <v>178265.28</v>
      </c>
      <c r="G8" s="6">
        <f>CNS!D9</f>
        <v>183175.54</v>
      </c>
      <c r="H8" s="123">
        <f>CNS!E9</f>
        <v>191954.82000000004</v>
      </c>
      <c r="I8" s="6">
        <f>CNS!F9</f>
        <v>192414.30000000002</v>
      </c>
      <c r="J8" s="6">
        <f>CNS!G9</f>
        <v>187551.84000000005</v>
      </c>
      <c r="K8" s="123">
        <f>CNS!H9</f>
        <v>175356.62000000002</v>
      </c>
      <c r="L8" s="6">
        <f>CNS!I9</f>
        <v>0</v>
      </c>
      <c r="M8" s="6">
        <f>CNS!J9</f>
        <v>0</v>
      </c>
      <c r="N8" s="123">
        <f>CNS!K9</f>
        <v>0</v>
      </c>
      <c r="O8" s="6">
        <f>CNS!L9</f>
        <v>0</v>
      </c>
      <c r="P8" s="6">
        <f>CNS!M9</f>
        <v>0</v>
      </c>
      <c r="Q8" s="9">
        <f t="shared" ref="Q8:Q52" si="2">SUM(E8:P8)</f>
        <v>1284527.6000000003</v>
      </c>
      <c r="R8" s="229">
        <f>Q8/$Q$7</f>
        <v>0.65321538708666338</v>
      </c>
      <c r="T8" s="219" t="s">
        <v>225</v>
      </c>
      <c r="U8" s="9">
        <f t="shared" ref="U8:U53" si="3">Q8/$U$5</f>
        <v>183503.94285714292</v>
      </c>
    </row>
    <row r="9" spans="4:28">
      <c r="D9" s="219" t="s">
        <v>236</v>
      </c>
      <c r="E9" s="123">
        <f>CNS!B10</f>
        <v>14700</v>
      </c>
      <c r="F9" s="6">
        <f>CNS!C10</f>
        <v>18900</v>
      </c>
      <c r="G9" s="6">
        <f>CNS!D10</f>
        <v>10400</v>
      </c>
      <c r="H9" s="123">
        <f>CNS!E10</f>
        <v>6500</v>
      </c>
      <c r="I9" s="6">
        <f>CNS!F10</f>
        <v>6500</v>
      </c>
      <c r="J9" s="6" t="str">
        <f>CNS!G10</f>
        <v>0,00</v>
      </c>
      <c r="K9" s="123">
        <f>CNS!H10</f>
        <v>18270</v>
      </c>
      <c r="L9" s="6">
        <f>CNS!I10</f>
        <v>0</v>
      </c>
      <c r="M9" s="6">
        <f>CNS!J10</f>
        <v>0</v>
      </c>
      <c r="N9" s="123">
        <f>CNS!K10</f>
        <v>0</v>
      </c>
      <c r="O9" s="6">
        <f>CNS!L10</f>
        <v>0</v>
      </c>
      <c r="P9" s="6">
        <f>CNS!M10</f>
        <v>0</v>
      </c>
      <c r="Q9" s="9">
        <f t="shared" si="2"/>
        <v>75270</v>
      </c>
      <c r="R9" s="229">
        <f t="shared" ref="R9:R19" si="4">Q9/$Q$7</f>
        <v>3.8276734720229556E-2</v>
      </c>
      <c r="T9" s="219" t="s">
        <v>236</v>
      </c>
      <c r="U9" s="9">
        <f t="shared" si="3"/>
        <v>10752.857142857143</v>
      </c>
      <c r="Y9" s="273"/>
      <c r="Z9" s="273"/>
      <c r="AA9" s="273"/>
      <c r="AB9" s="273"/>
    </row>
    <row r="10" spans="4:28">
      <c r="D10" s="219" t="s">
        <v>394</v>
      </c>
      <c r="E10" s="123">
        <f>CNS!B11</f>
        <v>34000</v>
      </c>
      <c r="F10" s="6">
        <f>CNS!C11</f>
        <v>34000</v>
      </c>
      <c r="G10" s="6">
        <f>CNS!D11</f>
        <v>34000</v>
      </c>
      <c r="H10" s="123" t="str">
        <f>CNS!E11</f>
        <v>0,00</v>
      </c>
      <c r="I10" s="6">
        <f>CNS!F11</f>
        <v>34000</v>
      </c>
      <c r="J10" s="6">
        <f>CNS!G11</f>
        <v>83700</v>
      </c>
      <c r="K10" s="123">
        <f>CNS!H11</f>
        <v>34000</v>
      </c>
      <c r="L10" s="6">
        <f>CNS!I11</f>
        <v>0</v>
      </c>
      <c r="M10" s="6">
        <f>CNS!J11</f>
        <v>0</v>
      </c>
      <c r="N10" s="123">
        <f>CNS!K11</f>
        <v>0</v>
      </c>
      <c r="O10" s="6">
        <f>CNS!L11</f>
        <v>0</v>
      </c>
      <c r="P10" s="6">
        <f>CNS!M11</f>
        <v>0</v>
      </c>
      <c r="Q10" s="9">
        <f t="shared" si="2"/>
        <v>253700</v>
      </c>
      <c r="R10" s="229">
        <f t="shared" si="4"/>
        <v>0.12901298789055718</v>
      </c>
      <c r="T10" s="219" t="s">
        <v>394</v>
      </c>
      <c r="U10" s="9">
        <f t="shared" si="3"/>
        <v>36242.857142857145</v>
      </c>
    </row>
    <row r="11" spans="4:28">
      <c r="D11" s="219" t="s">
        <v>557</v>
      </c>
      <c r="E11" s="123">
        <f>CNS!B12</f>
        <v>15346</v>
      </c>
      <c r="F11" s="6">
        <f>CNS!C12</f>
        <v>18715.86</v>
      </c>
      <c r="G11" s="6" t="str">
        <f>CNS!D12</f>
        <v>0,00</v>
      </c>
      <c r="H11" s="123">
        <f>CNS!E12</f>
        <v>30425.54</v>
      </c>
      <c r="I11" s="6" t="str">
        <f>CNS!F12</f>
        <v>0,00</v>
      </c>
      <c r="J11" s="6">
        <f>CNS!G12</f>
        <v>6238.62</v>
      </c>
      <c r="K11" s="123" t="str">
        <f>CNS!H12</f>
        <v>0,00</v>
      </c>
      <c r="L11" s="6">
        <f>CNS!I12</f>
        <v>0</v>
      </c>
      <c r="M11" s="6">
        <f>CNS!J12</f>
        <v>0</v>
      </c>
      <c r="N11" s="123">
        <f>CNS!K12</f>
        <v>0</v>
      </c>
      <c r="O11" s="6">
        <f>CNS!L12</f>
        <v>0</v>
      </c>
      <c r="P11" s="6">
        <f>CNS!M12</f>
        <v>0</v>
      </c>
      <c r="Q11" s="9">
        <f t="shared" si="2"/>
        <v>70726.02</v>
      </c>
      <c r="R11" s="229">
        <f t="shared" si="4"/>
        <v>3.5966003791120638E-2</v>
      </c>
      <c r="T11" s="219" t="s">
        <v>557</v>
      </c>
      <c r="U11" s="9">
        <f t="shared" si="3"/>
        <v>10103.717142857144</v>
      </c>
    </row>
    <row r="12" spans="4:28">
      <c r="D12" s="219" t="s">
        <v>558</v>
      </c>
      <c r="E12" s="123" t="str">
        <f>CNS!B13</f>
        <v>0,00</v>
      </c>
      <c r="F12" s="6">
        <f>CNS!C13</f>
        <v>750</v>
      </c>
      <c r="G12" s="6">
        <f>CNS!D13</f>
        <v>600</v>
      </c>
      <c r="H12" s="123">
        <f>CNS!E13</f>
        <v>1200</v>
      </c>
      <c r="I12" s="6" t="str">
        <f>CNS!F13</f>
        <v>0,00</v>
      </c>
      <c r="J12" s="6" t="str">
        <f>CNS!G13</f>
        <v>0,00</v>
      </c>
      <c r="K12" s="123" t="str">
        <f>CNS!H13</f>
        <v>0,00</v>
      </c>
      <c r="L12" s="6">
        <f>CNS!I13</f>
        <v>0</v>
      </c>
      <c r="M12" s="6">
        <f>CNS!J13</f>
        <v>0</v>
      </c>
      <c r="N12" s="123">
        <f>CNS!K13</f>
        <v>0</v>
      </c>
      <c r="O12" s="6">
        <f>CNS!L13</f>
        <v>0</v>
      </c>
      <c r="P12" s="6">
        <f>CNS!M13</f>
        <v>0</v>
      </c>
      <c r="Q12" s="9">
        <f t="shared" si="2"/>
        <v>2550</v>
      </c>
      <c r="R12" s="229">
        <f t="shared" si="4"/>
        <v>1.2967407139177012E-3</v>
      </c>
      <c r="T12" s="219" t="s">
        <v>558</v>
      </c>
      <c r="U12" s="9">
        <f t="shared" si="3"/>
        <v>364.28571428571428</v>
      </c>
    </row>
    <row r="13" spans="4:28">
      <c r="D13" s="219" t="s">
        <v>559</v>
      </c>
      <c r="E13" s="123">
        <f>CNS!B14</f>
        <v>0</v>
      </c>
      <c r="F13" s="6" t="str">
        <f>CNS!C14</f>
        <v>0,00</v>
      </c>
      <c r="G13" s="6" t="str">
        <f>CNS!D14</f>
        <v>0,00</v>
      </c>
      <c r="H13" s="123" t="str">
        <f>CNS!E14</f>
        <v>0,00</v>
      </c>
      <c r="I13" s="6" t="str">
        <f>CNS!F14</f>
        <v>0,00</v>
      </c>
      <c r="J13" s="6" t="str">
        <f>CNS!G14</f>
        <v>0,00</v>
      </c>
      <c r="K13" s="123" t="str">
        <f>CNS!H14</f>
        <v>0,00</v>
      </c>
      <c r="L13" s="6">
        <f>CNS!I14</f>
        <v>0</v>
      </c>
      <c r="M13" s="6">
        <f>CNS!J14</f>
        <v>0</v>
      </c>
      <c r="N13" s="123">
        <f>CNS!K14</f>
        <v>0</v>
      </c>
      <c r="O13" s="6">
        <f>CNS!L14</f>
        <v>0</v>
      </c>
      <c r="P13" s="6">
        <f>CNS!M14</f>
        <v>0</v>
      </c>
      <c r="Q13" s="9">
        <f t="shared" si="2"/>
        <v>0</v>
      </c>
      <c r="R13" s="229">
        <f t="shared" si="4"/>
        <v>0</v>
      </c>
      <c r="T13" s="219" t="s">
        <v>559</v>
      </c>
      <c r="U13" s="9">
        <f t="shared" si="3"/>
        <v>0</v>
      </c>
    </row>
    <row r="14" spans="4:28">
      <c r="D14" s="219" t="s">
        <v>560</v>
      </c>
      <c r="E14" s="123">
        <f>CRR!B9</f>
        <v>2129.2399999999998</v>
      </c>
      <c r="F14" s="6">
        <f>CRR!C9</f>
        <v>4080.01</v>
      </c>
      <c r="G14" s="6">
        <f>CRR!D9</f>
        <v>7882.59</v>
      </c>
      <c r="H14" s="123">
        <f>CRR!E9</f>
        <v>3358.51</v>
      </c>
      <c r="I14" s="6">
        <f>CRR!F9</f>
        <v>4335.0199999999995</v>
      </c>
      <c r="J14" s="6" t="str">
        <f>CRR!G9</f>
        <v>0,00</v>
      </c>
      <c r="K14" s="123">
        <f>CRR!H9</f>
        <v>5592.59</v>
      </c>
      <c r="L14" s="6">
        <f>CRR!I9</f>
        <v>0</v>
      </c>
      <c r="M14" s="6">
        <f>CRR!J9</f>
        <v>0</v>
      </c>
      <c r="N14" s="123">
        <f>CRR!K9</f>
        <v>0</v>
      </c>
      <c r="O14" s="6">
        <f>CRR!L9</f>
        <v>0</v>
      </c>
      <c r="P14" s="6">
        <f>CRR!M9</f>
        <v>0</v>
      </c>
      <c r="Q14" s="9">
        <f t="shared" si="2"/>
        <v>27377.96</v>
      </c>
      <c r="R14" s="229">
        <f t="shared" si="4"/>
        <v>1.3922398194513829E-2</v>
      </c>
      <c r="T14" s="219" t="s">
        <v>560</v>
      </c>
      <c r="U14" s="9">
        <f t="shared" si="3"/>
        <v>3911.1371428571429</v>
      </c>
    </row>
    <row r="15" spans="4:28">
      <c r="D15" s="219" t="s">
        <v>24</v>
      </c>
      <c r="E15" s="123">
        <f>CRR!B10</f>
        <v>11277.599999999999</v>
      </c>
      <c r="F15" s="6">
        <f>CRR!C10</f>
        <v>11277.599999999999</v>
      </c>
      <c r="G15" s="6">
        <f>CRR!D10</f>
        <v>11277.599999999999</v>
      </c>
      <c r="H15" s="123">
        <f>CRR!E10</f>
        <v>11277.599999999999</v>
      </c>
      <c r="I15" s="6">
        <f>CRR!F10</f>
        <v>11277.599999999999</v>
      </c>
      <c r="J15" s="6" t="str">
        <f>CRR!G10</f>
        <v>0,00</v>
      </c>
      <c r="K15" s="123">
        <f>CRR!H10</f>
        <v>17767.199999999997</v>
      </c>
      <c r="L15" s="6">
        <f>CRR!I10</f>
        <v>0</v>
      </c>
      <c r="M15" s="6">
        <f>CRR!J10</f>
        <v>0</v>
      </c>
      <c r="N15" s="123">
        <f>CRR!K10</f>
        <v>0</v>
      </c>
      <c r="O15" s="6">
        <f>CRR!L10</f>
        <v>0</v>
      </c>
      <c r="P15" s="6">
        <f>CRR!M10</f>
        <v>0</v>
      </c>
      <c r="Q15" s="9">
        <f t="shared" si="2"/>
        <v>74155.199999999983</v>
      </c>
      <c r="R15" s="229">
        <f t="shared" si="4"/>
        <v>3.7709830191650938E-2</v>
      </c>
      <c r="T15" s="219" t="s">
        <v>24</v>
      </c>
      <c r="U15" s="9">
        <f t="shared" si="3"/>
        <v>10593.599999999997</v>
      </c>
    </row>
    <row r="16" spans="4:28">
      <c r="D16" s="219" t="s">
        <v>561</v>
      </c>
      <c r="E16" s="123">
        <f>CRR!B11</f>
        <v>4958.3600000000006</v>
      </c>
      <c r="F16" s="6">
        <f>CRR!C11</f>
        <v>4860.2800000000007</v>
      </c>
      <c r="G16" s="6">
        <f>CRR!D11</f>
        <v>6325.2800000000016</v>
      </c>
      <c r="H16" s="123">
        <f>CRR!E11</f>
        <v>5913.91</v>
      </c>
      <c r="I16" s="6">
        <f>CRR!F11</f>
        <v>2187.119999999999</v>
      </c>
      <c r="J16" s="6">
        <f>CRR!G11</f>
        <v>3486.4800000000005</v>
      </c>
      <c r="K16" s="123">
        <f>CRR!H11</f>
        <v>3208.11</v>
      </c>
      <c r="L16" s="6">
        <f>CRR!I11</f>
        <v>0</v>
      </c>
      <c r="M16" s="6">
        <f>CRR!J11</f>
        <v>0</v>
      </c>
      <c r="N16" s="123">
        <f>CRR!K11</f>
        <v>0</v>
      </c>
      <c r="O16" s="6">
        <f>CRR!L11</f>
        <v>0</v>
      </c>
      <c r="P16" s="6">
        <f>CRR!M11</f>
        <v>0</v>
      </c>
      <c r="Q16" s="9">
        <f t="shared" si="2"/>
        <v>30939.54</v>
      </c>
      <c r="R16" s="229">
        <f t="shared" si="4"/>
        <v>1.5733553407013833E-2</v>
      </c>
      <c r="T16" s="219" t="s">
        <v>561</v>
      </c>
      <c r="U16" s="9">
        <f t="shared" si="3"/>
        <v>4419.9342857142856</v>
      </c>
    </row>
    <row r="17" spans="4:27">
      <c r="D17" s="219" t="s">
        <v>245</v>
      </c>
      <c r="E17" s="123">
        <f>CRR!B12</f>
        <v>20365.39</v>
      </c>
      <c r="F17" s="6">
        <f>CRR!C12</f>
        <v>11096.949999999997</v>
      </c>
      <c r="G17" s="6">
        <f>CRR!D12</f>
        <v>13782.609999999993</v>
      </c>
      <c r="H17" s="123">
        <f>CRR!E12</f>
        <v>11693.059999999998</v>
      </c>
      <c r="I17" s="6">
        <f>CRR!F12</f>
        <v>19858.710000000003</v>
      </c>
      <c r="J17" s="6">
        <f>CRR!G12</f>
        <v>16176.26</v>
      </c>
      <c r="K17" s="123">
        <f>CRR!H12</f>
        <v>19179.52</v>
      </c>
      <c r="L17" s="6">
        <f>CRR!I12</f>
        <v>0</v>
      </c>
      <c r="M17" s="6">
        <f>CRR!J12</f>
        <v>0</v>
      </c>
      <c r="N17" s="123">
        <f>CRR!K12</f>
        <v>0</v>
      </c>
      <c r="O17" s="6">
        <f>CRR!L12</f>
        <v>0</v>
      </c>
      <c r="P17" s="6">
        <f>CRR!M12</f>
        <v>0</v>
      </c>
      <c r="Q17" s="9">
        <f t="shared" si="2"/>
        <v>112152.49999999999</v>
      </c>
      <c r="R17" s="229">
        <f t="shared" si="4"/>
        <v>5.7032436438296065E-2</v>
      </c>
      <c r="T17" s="219" t="s">
        <v>245</v>
      </c>
      <c r="U17" s="9">
        <f t="shared" si="3"/>
        <v>16021.785714285712</v>
      </c>
    </row>
    <row r="18" spans="4:27">
      <c r="D18" s="219" t="s">
        <v>562</v>
      </c>
      <c r="E18" s="123">
        <f>CRR!B13</f>
        <v>3858.1399999999994</v>
      </c>
      <c r="F18" s="6">
        <f>CRR!C13</f>
        <v>3050.2599999999998</v>
      </c>
      <c r="G18" s="6">
        <f>CRR!D13</f>
        <v>5352.73</v>
      </c>
      <c r="H18" s="123">
        <f>CRR!E13</f>
        <v>4397.1899999999987</v>
      </c>
      <c r="I18" s="6">
        <f>CRR!F13</f>
        <v>6761.829999999999</v>
      </c>
      <c r="J18" s="6">
        <f>CRR!G13</f>
        <v>4404.6699999999992</v>
      </c>
      <c r="K18" s="123">
        <f>CRR!H13</f>
        <v>7245.0400000000027</v>
      </c>
      <c r="L18" s="6">
        <f>CRR!I13</f>
        <v>0</v>
      </c>
      <c r="M18" s="6">
        <f>CRR!J13</f>
        <v>0</v>
      </c>
      <c r="N18" s="123">
        <f>CRR!K13</f>
        <v>0</v>
      </c>
      <c r="O18" s="6">
        <f>CRR!L13</f>
        <v>0</v>
      </c>
      <c r="P18" s="6">
        <f>CRR!M13</f>
        <v>0</v>
      </c>
      <c r="Q18" s="9">
        <f t="shared" si="2"/>
        <v>35069.86</v>
      </c>
      <c r="R18" s="229">
        <f t="shared" si="4"/>
        <v>1.7833927566036797E-2</v>
      </c>
      <c r="T18" s="219" t="s">
        <v>562</v>
      </c>
      <c r="U18" s="9">
        <f t="shared" si="3"/>
        <v>5009.9800000000005</v>
      </c>
    </row>
    <row r="19" spans="4:27" hidden="1">
      <c r="D19" s="219" t="s">
        <v>10</v>
      </c>
      <c r="E19" s="123"/>
      <c r="F19" s="6"/>
      <c r="G19" s="6"/>
      <c r="H19" s="123"/>
      <c r="I19" s="6"/>
      <c r="J19" s="6"/>
      <c r="K19" s="123"/>
      <c r="L19" s="6"/>
      <c r="M19" s="6"/>
      <c r="N19" s="123"/>
      <c r="O19" s="6"/>
      <c r="P19" s="6"/>
      <c r="Q19" s="9">
        <f t="shared" si="2"/>
        <v>0</v>
      </c>
      <c r="R19" s="229">
        <f t="shared" si="4"/>
        <v>0</v>
      </c>
      <c r="T19" s="219" t="s">
        <v>10</v>
      </c>
      <c r="U19" s="9">
        <f t="shared" si="3"/>
        <v>0</v>
      </c>
    </row>
    <row r="20" spans="4:27">
      <c r="D20" s="220" t="s">
        <v>11</v>
      </c>
      <c r="E20" s="122">
        <f>CNS!B16+CRR!B15</f>
        <v>-198816.65000000002</v>
      </c>
      <c r="F20" s="10">
        <f>CNS!C16+CRR!C15</f>
        <v>-126321.09</v>
      </c>
      <c r="G20" s="10">
        <f>CNS!D16+CRR!D15</f>
        <v>-138181.44</v>
      </c>
      <c r="H20" s="122">
        <f>CNS!E16+CRR!E15</f>
        <v>-196414.43999999997</v>
      </c>
      <c r="I20" s="10">
        <f>CNS!F16+CRR!F15</f>
        <v>-128726.11000000002</v>
      </c>
      <c r="J20" s="10">
        <f>CNS!G16+CRR!G15</f>
        <v>-128056.72000000002</v>
      </c>
      <c r="K20" s="122">
        <f>CNS!H16+CRR!H15</f>
        <v>-195285.63</v>
      </c>
      <c r="L20" s="10">
        <f>CNS!I16+CRR!I15</f>
        <v>0</v>
      </c>
      <c r="M20" s="10">
        <f>CNS!J16+CRR!J15</f>
        <v>0</v>
      </c>
      <c r="N20" s="122">
        <f>CNS!K16+CRR!K15</f>
        <v>0</v>
      </c>
      <c r="O20" s="10">
        <f>CNS!L16+CRR!L15</f>
        <v>0</v>
      </c>
      <c r="P20" s="10">
        <f>CNS!M16+CRR!M15</f>
        <v>0</v>
      </c>
      <c r="Q20" s="11">
        <f t="shared" si="2"/>
        <v>-1111802.08</v>
      </c>
      <c r="R20" s="230">
        <f>Q20/$Q$7</f>
        <v>-0.5653800090017197</v>
      </c>
      <c r="T20" s="221" t="s">
        <v>11</v>
      </c>
      <c r="U20" s="11">
        <f t="shared" si="3"/>
        <v>-158828.86857142858</v>
      </c>
    </row>
    <row r="21" spans="4:27">
      <c r="D21" s="219" t="s">
        <v>12</v>
      </c>
      <c r="E21" s="123">
        <f>CNS!B17+CRR!B16</f>
        <v>-101514.6</v>
      </c>
      <c r="F21" s="6">
        <f>CNS!C17+CRR!C16</f>
        <v>-24032.34</v>
      </c>
      <c r="G21" s="6">
        <f>CNS!D17+CRR!D16</f>
        <v>-27344.44</v>
      </c>
      <c r="H21" s="123">
        <f>CNS!E17+CRR!E16</f>
        <v>-89882.16</v>
      </c>
      <c r="I21" s="6">
        <f>CNS!F17+CRR!F16</f>
        <v>-23264.240000000002</v>
      </c>
      <c r="J21" s="6">
        <f>CNS!G17+CRR!G16</f>
        <v>-25174.57</v>
      </c>
      <c r="K21" s="123">
        <f>CNS!H17+CRR!H16</f>
        <v>-108615.34</v>
      </c>
      <c r="L21" s="6">
        <f>CNS!I17+CRR!I16</f>
        <v>0</v>
      </c>
      <c r="M21" s="6">
        <f>CNS!J17+CRR!J16</f>
        <v>0</v>
      </c>
      <c r="N21" s="123">
        <f>CNS!K17+CRR!K16</f>
        <v>0</v>
      </c>
      <c r="O21" s="6">
        <f>CNS!L17+CRR!L16</f>
        <v>0</v>
      </c>
      <c r="P21" s="6">
        <f>CNS!M17+CRR!M16</f>
        <v>0</v>
      </c>
      <c r="Q21" s="9">
        <f t="shared" si="2"/>
        <v>-399827.69000000006</v>
      </c>
      <c r="R21" s="230">
        <f>Q21/$Q$7</f>
        <v>-0.20332268399006487</v>
      </c>
      <c r="T21" s="219" t="s">
        <v>12</v>
      </c>
      <c r="U21" s="9">
        <f t="shared" si="3"/>
        <v>-57118.24142857144</v>
      </c>
      <c r="X21" s="273"/>
      <c r="Y21" s="273"/>
      <c r="Z21" s="273"/>
      <c r="AA21" s="273"/>
    </row>
    <row r="22" spans="4:27">
      <c r="D22" s="219" t="s">
        <v>516</v>
      </c>
      <c r="E22" s="123">
        <f>CNS!B18+CRR!B17</f>
        <v>-89450.63</v>
      </c>
      <c r="F22" s="6">
        <f>CNS!C18+CRR!C17</f>
        <v>-91876.31</v>
      </c>
      <c r="G22" s="6">
        <f>CNS!D18+CRR!D17</f>
        <v>-98268.03</v>
      </c>
      <c r="H22" s="123">
        <f>CNS!E18+CRR!E17</f>
        <v>-95663.760000000009</v>
      </c>
      <c r="I22" s="6">
        <f>CNS!F18+CRR!F17</f>
        <v>-91912.330000000016</v>
      </c>
      <c r="J22" s="6">
        <f>CNS!G18+CRR!G17</f>
        <v>-94864.35</v>
      </c>
      <c r="K22" s="123">
        <f>CNS!H18+CRR!H17</f>
        <v>-78269.48</v>
      </c>
      <c r="L22" s="6">
        <f>CNS!I18+CRR!I17</f>
        <v>0</v>
      </c>
      <c r="M22" s="6">
        <f>CNS!J18+CRR!J17</f>
        <v>0</v>
      </c>
      <c r="N22" s="123">
        <f>CNS!K18+CRR!K17</f>
        <v>0</v>
      </c>
      <c r="O22" s="6">
        <f>CNS!L18+CRR!L17</f>
        <v>0</v>
      </c>
      <c r="P22" s="6">
        <f>CNS!M18+CRR!M17</f>
        <v>0</v>
      </c>
      <c r="Q22" s="9">
        <f t="shared" si="2"/>
        <v>-640304.89</v>
      </c>
      <c r="R22" s="230">
        <f t="shared" ref="R22:R26" si="5">Q22/$Q$7</f>
        <v>-0.32561153732690007</v>
      </c>
      <c r="T22" s="219" t="s">
        <v>516</v>
      </c>
      <c r="U22" s="9">
        <f t="shared" si="3"/>
        <v>-91472.127142857149</v>
      </c>
    </row>
    <row r="23" spans="4:27">
      <c r="D23" s="219" t="s">
        <v>515</v>
      </c>
      <c r="E23" s="123">
        <f>CNS!B19+CRR!B18</f>
        <v>-5749.27</v>
      </c>
      <c r="F23" s="6">
        <f>CNS!C19+CRR!C18</f>
        <v>-5695.28</v>
      </c>
      <c r="G23" s="6">
        <f>CNS!D19+CRR!D18</f>
        <v>-7461.4</v>
      </c>
      <c r="H23" s="123">
        <f>CNS!E19+CRR!E18</f>
        <v>-5965.22</v>
      </c>
      <c r="I23" s="6">
        <f>CNS!F19+CRR!F18</f>
        <v>-8479.8700000000008</v>
      </c>
      <c r="J23" s="6">
        <f>CNS!G19+CRR!G18</f>
        <v>-6239.61</v>
      </c>
      <c r="K23" s="123">
        <f>CNS!H19+CRR!H18</f>
        <v>-6458.99</v>
      </c>
      <c r="L23" s="6">
        <f>CNS!I19+CRR!I18</f>
        <v>0</v>
      </c>
      <c r="M23" s="6">
        <f>CNS!J19+CRR!J18</f>
        <v>0</v>
      </c>
      <c r="N23" s="123">
        <f>CNS!K19+CRR!K18</f>
        <v>0</v>
      </c>
      <c r="O23" s="6">
        <f>CNS!L19+CRR!L18</f>
        <v>0</v>
      </c>
      <c r="P23" s="6">
        <f>CNS!M19+CRR!M18</f>
        <v>0</v>
      </c>
      <c r="Q23" s="9">
        <f t="shared" si="2"/>
        <v>-46049.64</v>
      </c>
      <c r="R23" s="230">
        <f t="shared" si="5"/>
        <v>-2.3417428646765933E-2</v>
      </c>
      <c r="T23" s="219" t="s">
        <v>515</v>
      </c>
      <c r="U23" s="9">
        <f t="shared" si="3"/>
        <v>-6578.5199999999995</v>
      </c>
    </row>
    <row r="24" spans="4:27">
      <c r="D24" s="219" t="s">
        <v>514</v>
      </c>
      <c r="E24" s="123">
        <f>CNS!B20+CRR!B19</f>
        <v>0</v>
      </c>
      <c r="F24" s="6">
        <f>CNS!C20+CRR!C19</f>
        <v>-2730</v>
      </c>
      <c r="G24" s="6">
        <f>CNS!D20+CRR!D19</f>
        <v>-420</v>
      </c>
      <c r="H24" s="123">
        <f>CNS!E20+CRR!E19</f>
        <v>-1880.43</v>
      </c>
      <c r="I24" s="6">
        <f>CNS!F20+CRR!F19</f>
        <v>-840</v>
      </c>
      <c r="J24" s="6">
        <f>CNS!G20+CRR!G19</f>
        <v>0</v>
      </c>
      <c r="K24" s="123">
        <f>CNS!H20+CRR!H19</f>
        <v>0</v>
      </c>
      <c r="L24" s="6">
        <f>CNS!I20+CRR!I19</f>
        <v>0</v>
      </c>
      <c r="M24" s="6">
        <f>CNS!J20+CRR!J19</f>
        <v>0</v>
      </c>
      <c r="N24" s="123">
        <f>CNS!K20+CRR!K19</f>
        <v>0</v>
      </c>
      <c r="O24" s="6">
        <f>CNS!L20+CRR!L19</f>
        <v>0</v>
      </c>
      <c r="P24" s="6">
        <f>CNS!M20+CRR!M19</f>
        <v>0</v>
      </c>
      <c r="Q24" s="9">
        <f t="shared" si="2"/>
        <v>-5870.43</v>
      </c>
      <c r="R24" s="230">
        <f t="shared" si="5"/>
        <v>-2.9852649369427023E-3</v>
      </c>
      <c r="T24" s="219" t="s">
        <v>514</v>
      </c>
      <c r="U24" s="9">
        <f t="shared" si="3"/>
        <v>-838.63285714285723</v>
      </c>
    </row>
    <row r="25" spans="4:27">
      <c r="D25" s="219" t="s">
        <v>513</v>
      </c>
      <c r="E25" s="123">
        <f>CNS!B21+CRR!B20</f>
        <v>-1163.7199999999998</v>
      </c>
      <c r="F25" s="6">
        <f>CNS!C21+CRR!C20</f>
        <v>-1319.6100000000001</v>
      </c>
      <c r="G25" s="6">
        <f>CNS!D21+CRR!D20</f>
        <v>-3923.6200000000008</v>
      </c>
      <c r="H25" s="123">
        <f>CNS!E21+CRR!E20</f>
        <v>-1950.6299999999999</v>
      </c>
      <c r="I25" s="6">
        <f>CNS!F21+CRR!F20</f>
        <v>-3298.79</v>
      </c>
      <c r="J25" s="6">
        <f>CNS!G21+CRR!G20</f>
        <v>-1471.97</v>
      </c>
      <c r="K25" s="123">
        <f>CNS!H21+CRR!H20</f>
        <v>-55.4</v>
      </c>
      <c r="L25" s="6">
        <f>CNS!I21+CRR!I20</f>
        <v>0</v>
      </c>
      <c r="M25" s="6">
        <f>CNS!J21+CRR!J20</f>
        <v>0</v>
      </c>
      <c r="N25" s="123">
        <f>CNS!K21+CRR!K20</f>
        <v>0</v>
      </c>
      <c r="O25" s="6">
        <f>CNS!L21+CRR!L20</f>
        <v>0</v>
      </c>
      <c r="P25" s="6">
        <f>CNS!M21+CRR!M20</f>
        <v>0</v>
      </c>
      <c r="Q25" s="9">
        <f t="shared" si="2"/>
        <v>-13183.739999999998</v>
      </c>
      <c r="R25" s="230">
        <f t="shared" si="5"/>
        <v>-6.7042715371393533E-3</v>
      </c>
      <c r="T25" s="219" t="s">
        <v>513</v>
      </c>
      <c r="U25" s="9">
        <f t="shared" si="3"/>
        <v>-1883.3914285714284</v>
      </c>
    </row>
    <row r="26" spans="4:27">
      <c r="D26" s="219" t="s">
        <v>512</v>
      </c>
      <c r="E26" s="123">
        <f>CNS!B22+CRR!B21</f>
        <v>-938.43000000000006</v>
      </c>
      <c r="F26" s="6">
        <f>CNS!C22+CRR!C21</f>
        <v>-667.55</v>
      </c>
      <c r="G26" s="6">
        <f>CNS!D22+CRR!D21</f>
        <v>-763.95</v>
      </c>
      <c r="H26" s="123">
        <f>CNS!E22+CRR!E21</f>
        <v>-1072.24</v>
      </c>
      <c r="I26" s="6">
        <f>CNS!F22+CRR!F21</f>
        <v>-930.88</v>
      </c>
      <c r="J26" s="6">
        <f>CNS!G22+CRR!G21</f>
        <v>-306.22000000000003</v>
      </c>
      <c r="K26" s="123">
        <f>CNS!H22+CRR!H21</f>
        <v>-1886.42</v>
      </c>
      <c r="L26" s="6">
        <f>CNS!I22+CRR!I21</f>
        <v>0</v>
      </c>
      <c r="M26" s="6">
        <f>CNS!J22+CRR!J21</f>
        <v>0</v>
      </c>
      <c r="N26" s="123">
        <f>CNS!K22+CRR!K21</f>
        <v>0</v>
      </c>
      <c r="O26" s="6">
        <f>CNS!L22+CRR!L21</f>
        <v>0</v>
      </c>
      <c r="P26" s="6">
        <f>CNS!M22+CRR!M21</f>
        <v>0</v>
      </c>
      <c r="Q26" s="9">
        <f t="shared" si="2"/>
        <v>-6565.6900000000005</v>
      </c>
      <c r="R26" s="230">
        <f t="shared" si="5"/>
        <v>-3.3388225639067893E-3</v>
      </c>
      <c r="T26" s="219" t="s">
        <v>512</v>
      </c>
      <c r="U26" s="9">
        <f t="shared" si="3"/>
        <v>-937.95571428571441</v>
      </c>
    </row>
    <row r="27" spans="4:27">
      <c r="D27" s="218" t="s">
        <v>14</v>
      </c>
      <c r="E27" s="212">
        <f>CNS!B23+CRR!B22</f>
        <v>83627.28</v>
      </c>
      <c r="F27" s="208">
        <f>CNS!C23+CRR!C22</f>
        <v>158675.14999999997</v>
      </c>
      <c r="G27" s="208">
        <f>CNS!D23+CRR!D22</f>
        <v>134614.91000000012</v>
      </c>
      <c r="H27" s="212">
        <f>CNS!E23+CRR!E22</f>
        <v>70306.190000000104</v>
      </c>
      <c r="I27" s="208">
        <f>CNS!F23+CRR!F22</f>
        <v>148608.46999999997</v>
      </c>
      <c r="J27" s="208">
        <f>CNS!G23+CRR!G22</f>
        <v>173501.15000000008</v>
      </c>
      <c r="K27" s="212">
        <f>CNS!H23+CRR!H22</f>
        <v>85333.450000000055</v>
      </c>
      <c r="L27" s="208">
        <f>CNS!I23+CRR!I22</f>
        <v>0</v>
      </c>
      <c r="M27" s="208">
        <f>CNS!J23+CRR!J22</f>
        <v>0</v>
      </c>
      <c r="N27" s="212">
        <f>CNS!K23+CRR!K22</f>
        <v>0</v>
      </c>
      <c r="O27" s="208">
        <f>CNS!L23+CRR!L22</f>
        <v>0</v>
      </c>
      <c r="P27" s="208">
        <f>CNS!M23+CRR!M22</f>
        <v>0</v>
      </c>
      <c r="Q27" s="215">
        <f t="shared" si="2"/>
        <v>854666.60000000044</v>
      </c>
      <c r="R27" s="12">
        <f>Q27/$Q$7</f>
        <v>0.43461999099828036</v>
      </c>
      <c r="T27" s="330" t="s">
        <v>14</v>
      </c>
      <c r="U27" s="215">
        <f t="shared" si="3"/>
        <v>122095.22857142864</v>
      </c>
    </row>
    <row r="28" spans="4:27">
      <c r="D28" s="220" t="s">
        <v>15</v>
      </c>
      <c r="E28" s="122">
        <f>CNS!B24+CRR!B23</f>
        <v>-64960.260000000009</v>
      </c>
      <c r="F28" s="10">
        <f>CNS!C24+CRR!C23</f>
        <v>-61297.63</v>
      </c>
      <c r="G28" s="10">
        <f>CNS!D24+CRR!D23</f>
        <v>-67942.220000000016</v>
      </c>
      <c r="H28" s="122">
        <f>CNS!E24+CRR!E23</f>
        <v>-64575.130000000019</v>
      </c>
      <c r="I28" s="10">
        <f>CNS!F24+CRR!F23</f>
        <v>-81372.890000000014</v>
      </c>
      <c r="J28" s="10">
        <f>CNS!G24+CRR!G23</f>
        <v>-66612.710000000021</v>
      </c>
      <c r="K28" s="122">
        <f>CNS!H24+CRR!H23</f>
        <v>-59682.890000000014</v>
      </c>
      <c r="L28" s="10">
        <f>CNS!I24+CRR!I23</f>
        <v>0</v>
      </c>
      <c r="M28" s="10">
        <f>CNS!J24+CRR!J23</f>
        <v>0</v>
      </c>
      <c r="N28" s="122">
        <f>CNS!K24+CRR!K23</f>
        <v>0</v>
      </c>
      <c r="O28" s="10">
        <f>CNS!L24+CRR!L23</f>
        <v>0</v>
      </c>
      <c r="P28" s="10">
        <f>CNS!M24+CRR!M23</f>
        <v>0</v>
      </c>
      <c r="Q28" s="11">
        <f t="shared" si="2"/>
        <v>-466443.7300000001</v>
      </c>
      <c r="R28" s="230">
        <f>Q28/$Q$7</f>
        <v>-0.23719865703632767</v>
      </c>
      <c r="T28" s="221" t="s">
        <v>15</v>
      </c>
      <c r="U28" s="11">
        <f t="shared" si="3"/>
        <v>-66634.818571428579</v>
      </c>
    </row>
    <row r="29" spans="4:27">
      <c r="D29" s="219" t="s">
        <v>511</v>
      </c>
      <c r="E29" s="123">
        <f>CNS!B25+CRR!B24</f>
        <v>-25426.149999999998</v>
      </c>
      <c r="F29" s="6">
        <f>CNS!C25+CRR!C24</f>
        <v>-32678.58</v>
      </c>
      <c r="G29" s="6">
        <f>CNS!D25+CRR!D24</f>
        <v>-28556.639999999999</v>
      </c>
      <c r="H29" s="123">
        <f>CNS!E25+CRR!E24</f>
        <v>-28209.129999999997</v>
      </c>
      <c r="I29" s="6">
        <f>CNS!F25+CRR!F24</f>
        <v>-33000.229999999996</v>
      </c>
      <c r="J29" s="6">
        <f>CNS!G25+CRR!G24</f>
        <v>-34300.75</v>
      </c>
      <c r="K29" s="123">
        <f>CNS!H25+CRR!H24</f>
        <v>-28209.14</v>
      </c>
      <c r="L29" s="6">
        <f>CNS!I25+CRR!I24</f>
        <v>0</v>
      </c>
      <c r="M29" s="6">
        <f>CNS!J25+CRR!J24</f>
        <v>0</v>
      </c>
      <c r="N29" s="123">
        <f>CNS!K25+CRR!K24</f>
        <v>0</v>
      </c>
      <c r="O29" s="6">
        <f>CNS!L25+CRR!L24</f>
        <v>0</v>
      </c>
      <c r="P29" s="6">
        <f>CNS!M25+CRR!M24</f>
        <v>0</v>
      </c>
      <c r="Q29" s="9">
        <f t="shared" si="2"/>
        <v>-210380.62</v>
      </c>
      <c r="R29" s="230">
        <f>Q29/$Q$7</f>
        <v>-0.10698396681303866</v>
      </c>
      <c r="T29" s="219" t="s">
        <v>511</v>
      </c>
      <c r="U29" s="9">
        <f t="shared" si="3"/>
        <v>-30054.374285714286</v>
      </c>
    </row>
    <row r="30" spans="4:27">
      <c r="D30" s="219" t="s">
        <v>510</v>
      </c>
      <c r="E30" s="123">
        <f>CNS!B26+CRR!B25</f>
        <v>-15523.46</v>
      </c>
      <c r="F30" s="6">
        <f>CNS!C26+CRR!C25</f>
        <v>-9519.0499999999993</v>
      </c>
      <c r="G30" s="6">
        <f>CNS!D26+CRR!D25</f>
        <v>-13097.35</v>
      </c>
      <c r="H30" s="123">
        <f>CNS!E26+CRR!E25</f>
        <v>-10678.38</v>
      </c>
      <c r="I30" s="6">
        <f>CNS!F26+CRR!F25</f>
        <v>-9918.6999999999989</v>
      </c>
      <c r="J30" s="6">
        <f>CNS!G26+CRR!G25</f>
        <v>-9939.9599999999991</v>
      </c>
      <c r="K30" s="123">
        <f>CNS!H26+CRR!H25</f>
        <v>-10299.929999999998</v>
      </c>
      <c r="L30" s="6">
        <f>CNS!I26+CRR!I25</f>
        <v>0</v>
      </c>
      <c r="M30" s="6">
        <f>CNS!J26+CRR!J25</f>
        <v>0</v>
      </c>
      <c r="N30" s="123">
        <f>CNS!K26+CRR!K25</f>
        <v>0</v>
      </c>
      <c r="O30" s="6">
        <f>CNS!L26+CRR!L25</f>
        <v>0</v>
      </c>
      <c r="P30" s="6">
        <f>CNS!M26+CRR!M25</f>
        <v>0</v>
      </c>
      <c r="Q30" s="9">
        <f t="shared" si="2"/>
        <v>-78976.829999999987</v>
      </c>
      <c r="R30" s="230">
        <f t="shared" ref="R30:R33" si="6">Q30/$Q$7</f>
        <v>-4.0161753300845843E-2</v>
      </c>
      <c r="T30" s="219" t="s">
        <v>510</v>
      </c>
      <c r="U30" s="9">
        <f t="shared" si="3"/>
        <v>-11282.404285714283</v>
      </c>
    </row>
    <row r="31" spans="4:27">
      <c r="D31" s="219" t="s">
        <v>509</v>
      </c>
      <c r="E31" s="123">
        <f>CNS!B27+CRR!B26</f>
        <v>-21367.88</v>
      </c>
      <c r="F31" s="6">
        <f>CNS!C27+CRR!C26</f>
        <v>-19100</v>
      </c>
      <c r="G31" s="6">
        <f>CNS!D27+CRR!D26</f>
        <v>-26235.23</v>
      </c>
      <c r="H31" s="123">
        <f>CNS!E27+CRR!E26</f>
        <v>-25581.62000000001</v>
      </c>
      <c r="I31" s="6">
        <f>CNS!F27+CRR!F26</f>
        <v>-32735.460000000003</v>
      </c>
      <c r="J31" s="6">
        <f>CNS!G27+CRR!G26</f>
        <v>-22372</v>
      </c>
      <c r="K31" s="123">
        <f>CNS!H27+CRR!H26</f>
        <v>-21173.82</v>
      </c>
      <c r="L31" s="6">
        <f>CNS!I27+CRR!I26</f>
        <v>0</v>
      </c>
      <c r="M31" s="6">
        <f>CNS!J27+CRR!J26</f>
        <v>0</v>
      </c>
      <c r="N31" s="123">
        <f>CNS!K27+CRR!K26</f>
        <v>0</v>
      </c>
      <c r="O31" s="6">
        <f>CNS!L27+CRR!L26</f>
        <v>0</v>
      </c>
      <c r="P31" s="6">
        <f>CNS!M27+CRR!M26</f>
        <v>0</v>
      </c>
      <c r="Q31" s="9">
        <f t="shared" si="2"/>
        <v>-168566.01</v>
      </c>
      <c r="R31" s="230">
        <f t="shared" si="6"/>
        <v>-8.5720160058689557E-2</v>
      </c>
      <c r="T31" s="219" t="s">
        <v>509</v>
      </c>
      <c r="U31" s="9">
        <f t="shared" si="3"/>
        <v>-24080.858571428573</v>
      </c>
    </row>
    <row r="32" spans="4:27">
      <c r="D32" s="219" t="s">
        <v>508</v>
      </c>
      <c r="E32" s="123">
        <f>CNS!B28+CRR!B27</f>
        <v>-1119.18</v>
      </c>
      <c r="F32" s="6">
        <f>CNS!C28+CRR!C27</f>
        <v>0</v>
      </c>
      <c r="G32" s="6">
        <f>CNS!D28+CRR!D27</f>
        <v>0</v>
      </c>
      <c r="H32" s="123">
        <f>CNS!E28+CRR!E27</f>
        <v>0</v>
      </c>
      <c r="I32" s="6">
        <f>CNS!F28+CRR!F27</f>
        <v>0</v>
      </c>
      <c r="J32" s="6">
        <f>CNS!G28+CRR!G27</f>
        <v>0</v>
      </c>
      <c r="K32" s="123">
        <f>CNS!H28+CRR!H27</f>
        <v>0</v>
      </c>
      <c r="L32" s="6">
        <f>CNS!I28+CRR!I27</f>
        <v>0</v>
      </c>
      <c r="M32" s="6">
        <f>CNS!J28+CRR!J27</f>
        <v>0</v>
      </c>
      <c r="N32" s="123">
        <f>CNS!K28+CRR!K27</f>
        <v>0</v>
      </c>
      <c r="O32" s="6">
        <f>CNS!L28+CRR!L27</f>
        <v>0</v>
      </c>
      <c r="P32" s="6">
        <f>CNS!M28+CRR!M27</f>
        <v>0</v>
      </c>
      <c r="Q32" s="9">
        <f t="shared" si="2"/>
        <v>-1119.18</v>
      </c>
      <c r="R32" s="230">
        <f t="shared" si="6"/>
        <v>-5.6913187145192664E-4</v>
      </c>
      <c r="T32" s="219" t="s">
        <v>508</v>
      </c>
      <c r="U32" s="9">
        <f t="shared" si="3"/>
        <v>-159.88285714285715</v>
      </c>
    </row>
    <row r="33" spans="4:21">
      <c r="D33" s="219" t="s">
        <v>507</v>
      </c>
      <c r="E33" s="123">
        <f>CNS!B29+CRR!B28</f>
        <v>-1523.5900000000001</v>
      </c>
      <c r="F33" s="6">
        <f>CNS!C29+CRR!C28</f>
        <v>0</v>
      </c>
      <c r="G33" s="6">
        <f>CNS!D29+CRR!D28</f>
        <v>-53</v>
      </c>
      <c r="H33" s="123">
        <f>CNS!E29+CRR!E28</f>
        <v>-106</v>
      </c>
      <c r="I33" s="6">
        <f>CNS!F29+CRR!F28</f>
        <v>-5718.5</v>
      </c>
      <c r="J33" s="6">
        <f>CNS!G29+CRR!G28</f>
        <v>0</v>
      </c>
      <c r="K33" s="123">
        <f>CNS!H29+CRR!H28</f>
        <v>0</v>
      </c>
      <c r="L33" s="6">
        <f>CNS!I29+CRR!I28</f>
        <v>0</v>
      </c>
      <c r="M33" s="6">
        <f>CNS!J29+CRR!J28</f>
        <v>0</v>
      </c>
      <c r="N33" s="123">
        <f>CNS!K29+CRR!K28</f>
        <v>0</v>
      </c>
      <c r="O33" s="6">
        <f>CNS!L29+CRR!L28</f>
        <v>0</v>
      </c>
      <c r="P33" s="6">
        <f>CNS!M29+CRR!M28</f>
        <v>0</v>
      </c>
      <c r="Q33" s="9">
        <f t="shared" si="2"/>
        <v>-7401.09</v>
      </c>
      <c r="R33" s="230">
        <f t="shared" si="6"/>
        <v>-3.7636449923016311E-3</v>
      </c>
      <c r="T33" s="219" t="s">
        <v>507</v>
      </c>
      <c r="U33" s="9">
        <f t="shared" si="3"/>
        <v>-1057.2985714285714</v>
      </c>
    </row>
    <row r="34" spans="4:21">
      <c r="D34" s="218" t="s">
        <v>16</v>
      </c>
      <c r="E34" s="212">
        <f>CNS!B30+CRR!B29</f>
        <v>18667.019999999993</v>
      </c>
      <c r="F34" s="208">
        <f>CNS!C30+CRR!C29</f>
        <v>97377.51999999999</v>
      </c>
      <c r="G34" s="208">
        <f>CNS!D30+CRR!D29</f>
        <v>66672.690000000104</v>
      </c>
      <c r="H34" s="212">
        <f>CNS!E30+CRR!E29</f>
        <v>5731.0600000000886</v>
      </c>
      <c r="I34" s="208">
        <f>CNS!F30+CRR!F29</f>
        <v>67235.579999999958</v>
      </c>
      <c r="J34" s="208">
        <f>CNS!G30+CRR!G29</f>
        <v>106888.44000000005</v>
      </c>
      <c r="K34" s="212">
        <f>CNS!H30+CRR!H29</f>
        <v>25650.560000000041</v>
      </c>
      <c r="L34" s="208">
        <f>CNS!I30+CRR!I29</f>
        <v>0</v>
      </c>
      <c r="M34" s="208">
        <f>CNS!J30+CRR!J29</f>
        <v>0</v>
      </c>
      <c r="N34" s="212">
        <f>CNS!K30+CRR!K29</f>
        <v>0</v>
      </c>
      <c r="O34" s="208">
        <f>CNS!L30+CRR!L29</f>
        <v>0</v>
      </c>
      <c r="P34" s="208">
        <f>CNS!M30+CRR!M29</f>
        <v>0</v>
      </c>
      <c r="Q34" s="215">
        <f t="shared" si="2"/>
        <v>388222.87000000023</v>
      </c>
      <c r="R34" s="12">
        <f>Q34/$Q$7</f>
        <v>0.19742133396195263</v>
      </c>
      <c r="T34" s="330" t="s">
        <v>16</v>
      </c>
      <c r="U34" s="215">
        <f t="shared" si="3"/>
        <v>55460.410000000033</v>
      </c>
    </row>
    <row r="35" spans="4:21">
      <c r="D35" s="220" t="s">
        <v>17</v>
      </c>
      <c r="E35" s="122">
        <f>CNS!B31+CRR!B30</f>
        <v>-23481.499999999996</v>
      </c>
      <c r="F35" s="10">
        <f>CNS!C31+CRR!C30</f>
        <v>-24172.25</v>
      </c>
      <c r="G35" s="10">
        <f>CNS!D31+CRR!D30</f>
        <v>-24636.399999999991</v>
      </c>
      <c r="H35" s="122">
        <f>CNS!E31+CRR!E30</f>
        <v>-21131.769999999997</v>
      </c>
      <c r="I35" s="10">
        <f>CNS!F31+CRR!F30</f>
        <v>-20692.519999999997</v>
      </c>
      <c r="J35" s="10">
        <f>CNS!G31+CRR!G30</f>
        <v>-20268.560000000005</v>
      </c>
      <c r="K35" s="122">
        <f>CNS!H31+CRR!H30</f>
        <v>-30373.030000000002</v>
      </c>
      <c r="L35" s="10">
        <f>CNS!I31+CRR!I30</f>
        <v>0</v>
      </c>
      <c r="M35" s="10">
        <f>CNS!J31+CRR!J30</f>
        <v>0</v>
      </c>
      <c r="N35" s="122">
        <f>CNS!K31+CRR!K30</f>
        <v>0</v>
      </c>
      <c r="O35" s="10">
        <f>CNS!L31+CRR!L30</f>
        <v>0</v>
      </c>
      <c r="P35" s="10">
        <f>CNS!M31+CRR!M30</f>
        <v>0</v>
      </c>
      <c r="Q35" s="11">
        <f t="shared" si="2"/>
        <v>-164756.02999999997</v>
      </c>
      <c r="R35" s="230">
        <f t="shared" ref="R35:R52" si="7">Q35/$Q$7</f>
        <v>-8.3782687044880844E-2</v>
      </c>
      <c r="T35" s="221" t="s">
        <v>17</v>
      </c>
      <c r="U35" s="11">
        <f t="shared" si="3"/>
        <v>-23536.575714285711</v>
      </c>
    </row>
    <row r="36" spans="4:21">
      <c r="D36" s="219" t="s">
        <v>506</v>
      </c>
      <c r="E36" s="123">
        <f>CNS!B32+CRR!B31</f>
        <v>-10767.650000000001</v>
      </c>
      <c r="F36" s="6">
        <f>CNS!C32+CRR!C31</f>
        <v>-7850.2999999999993</v>
      </c>
      <c r="G36" s="6">
        <f>CNS!D32+CRR!D31</f>
        <v>-8253.59</v>
      </c>
      <c r="H36" s="123">
        <f>CNS!E32+CRR!E31</f>
        <v>-8252.4599999999991</v>
      </c>
      <c r="I36" s="6">
        <f>CNS!F32+CRR!F31</f>
        <v>-9165.58</v>
      </c>
      <c r="J36" s="6">
        <f>CNS!G32+CRR!G31</f>
        <v>-8964.0499999999993</v>
      </c>
      <c r="K36" s="123">
        <f>CNS!H32+CRR!H31</f>
        <v>-8776.49</v>
      </c>
      <c r="L36" s="6">
        <f>CNS!I32+CRR!I31</f>
        <v>0</v>
      </c>
      <c r="M36" s="6">
        <f>CNS!J32+CRR!J31</f>
        <v>0</v>
      </c>
      <c r="N36" s="123">
        <f>CNS!K32+CRR!K31</f>
        <v>0</v>
      </c>
      <c r="O36" s="6">
        <f>CNS!L32+CRR!L31</f>
        <v>0</v>
      </c>
      <c r="P36" s="6">
        <f>CNS!M32+CRR!M31</f>
        <v>0</v>
      </c>
      <c r="Q36" s="9">
        <f t="shared" si="2"/>
        <v>-62030.12</v>
      </c>
      <c r="R36" s="230">
        <f t="shared" si="7"/>
        <v>-3.1543914546353205E-2</v>
      </c>
      <c r="T36" s="219" t="s">
        <v>506</v>
      </c>
      <c r="U36" s="9">
        <f t="shared" si="3"/>
        <v>-8861.4457142857154</v>
      </c>
    </row>
    <row r="37" spans="4:21">
      <c r="D37" s="219" t="s">
        <v>505</v>
      </c>
      <c r="E37" s="123">
        <f>CNS!B33+CRR!B32</f>
        <v>0</v>
      </c>
      <c r="F37" s="6">
        <f>CNS!C33+CRR!C32</f>
        <v>0</v>
      </c>
      <c r="G37" s="6">
        <f>CNS!D33+CRR!D32</f>
        <v>0</v>
      </c>
      <c r="H37" s="123">
        <f>CNS!E33+CRR!E32</f>
        <v>0</v>
      </c>
      <c r="I37" s="6">
        <f>CNS!F33+CRR!F32</f>
        <v>0</v>
      </c>
      <c r="J37" s="6">
        <f>CNS!G33+CRR!G32</f>
        <v>0</v>
      </c>
      <c r="K37" s="123">
        <f>CNS!H33+CRR!H32</f>
        <v>0</v>
      </c>
      <c r="L37" s="6">
        <f>CNS!I33+CRR!I32</f>
        <v>0</v>
      </c>
      <c r="M37" s="6">
        <f>CNS!J33+CRR!J32</f>
        <v>0</v>
      </c>
      <c r="N37" s="123">
        <f>CNS!K33+CRR!K32</f>
        <v>0</v>
      </c>
      <c r="O37" s="6">
        <f>CNS!L33+CRR!L32</f>
        <v>0</v>
      </c>
      <c r="P37" s="6">
        <f>CNS!M33+CRR!M32</f>
        <v>0</v>
      </c>
      <c r="Q37" s="9">
        <f t="shared" si="2"/>
        <v>0</v>
      </c>
      <c r="R37" s="230">
        <f t="shared" si="7"/>
        <v>0</v>
      </c>
      <c r="T37" s="219" t="s">
        <v>505</v>
      </c>
      <c r="U37" s="9">
        <f t="shared" si="3"/>
        <v>0</v>
      </c>
    </row>
    <row r="38" spans="4:21">
      <c r="D38" s="219" t="s">
        <v>504</v>
      </c>
      <c r="E38" s="123">
        <f>CNS!B34+CRR!B33</f>
        <v>-4432.6099999999997</v>
      </c>
      <c r="F38" s="6">
        <f>CNS!C34+CRR!C33</f>
        <v>-4617.9399999999996</v>
      </c>
      <c r="G38" s="6">
        <f>CNS!D34+CRR!D33</f>
        <v>-4617.9399999999996</v>
      </c>
      <c r="H38" s="123">
        <f>CNS!E34+CRR!E33</f>
        <v>-4617.9399999999996</v>
      </c>
      <c r="I38" s="6">
        <f>CNS!F34+CRR!F33</f>
        <v>-4617.9399999999996</v>
      </c>
      <c r="J38" s="6">
        <f>CNS!G34+CRR!G33</f>
        <v>-4617.9399999999996</v>
      </c>
      <c r="K38" s="123">
        <f>CNS!H34+CRR!H33</f>
        <v>-13617.94</v>
      </c>
      <c r="L38" s="6">
        <f>CNS!I34+CRR!I33</f>
        <v>0</v>
      </c>
      <c r="M38" s="6">
        <f>CNS!J34+CRR!J33</f>
        <v>0</v>
      </c>
      <c r="N38" s="123">
        <f>CNS!K34+CRR!K33</f>
        <v>0</v>
      </c>
      <c r="O38" s="6">
        <f>CNS!L34+CRR!L33</f>
        <v>0</v>
      </c>
      <c r="P38" s="6">
        <f>CNS!M34+CRR!M33</f>
        <v>0</v>
      </c>
      <c r="Q38" s="9">
        <f t="shared" si="2"/>
        <v>-41140.249999999993</v>
      </c>
      <c r="R38" s="230">
        <f t="shared" si="7"/>
        <v>-2.092087731598145E-2</v>
      </c>
      <c r="T38" s="219" t="s">
        <v>504</v>
      </c>
      <c r="U38" s="9">
        <f t="shared" si="3"/>
        <v>-5877.1785714285706</v>
      </c>
    </row>
    <row r="39" spans="4:21">
      <c r="D39" s="219" t="s">
        <v>503</v>
      </c>
      <c r="E39" s="123">
        <f>CNS!B35+CRR!B34</f>
        <v>-2598.88</v>
      </c>
      <c r="F39" s="6">
        <f>CNS!C35+CRR!C34</f>
        <v>-4244.37</v>
      </c>
      <c r="G39" s="6">
        <f>CNS!D35+CRR!D34</f>
        <v>-4827.7599999999984</v>
      </c>
      <c r="H39" s="123">
        <f>CNS!E35+CRR!E34</f>
        <v>-3002.4900000000002</v>
      </c>
      <c r="I39" s="6">
        <f>CNS!F35+CRR!F34</f>
        <v>-1595.19</v>
      </c>
      <c r="J39" s="6">
        <f>CNS!G35+CRR!G34</f>
        <v>-484.9</v>
      </c>
      <c r="K39" s="123">
        <f>CNS!H35+CRR!H34</f>
        <v>-195</v>
      </c>
      <c r="L39" s="6">
        <f>CNS!I35+CRR!I34</f>
        <v>0</v>
      </c>
      <c r="M39" s="6">
        <f>CNS!J35+CRR!J34</f>
        <v>0</v>
      </c>
      <c r="N39" s="123">
        <f>CNS!K35+CRR!K34</f>
        <v>0</v>
      </c>
      <c r="O39" s="6">
        <f>CNS!L35+CRR!L34</f>
        <v>0</v>
      </c>
      <c r="P39" s="6">
        <f>CNS!M35+CRR!M34</f>
        <v>0</v>
      </c>
      <c r="Q39" s="9">
        <f t="shared" si="2"/>
        <v>-16948.59</v>
      </c>
      <c r="R39" s="230">
        <f t="shared" si="7"/>
        <v>-8.6187947829405535E-3</v>
      </c>
      <c r="T39" s="219" t="s">
        <v>503</v>
      </c>
      <c r="U39" s="9">
        <f t="shared" si="3"/>
        <v>-2421.227142857143</v>
      </c>
    </row>
    <row r="40" spans="4:21">
      <c r="D40" s="219" t="s">
        <v>502</v>
      </c>
      <c r="E40" s="123">
        <f>CNS!B36+CRR!B35</f>
        <v>-2058.7799999999997</v>
      </c>
      <c r="F40" s="6">
        <f>CNS!C36+CRR!C35</f>
        <v>-3995.8399999999992</v>
      </c>
      <c r="G40" s="6">
        <f>CNS!D36+CRR!D35</f>
        <v>-3193.7400000000002</v>
      </c>
      <c r="H40" s="123">
        <f>CNS!E36+CRR!E35</f>
        <v>-2495.5100000000002</v>
      </c>
      <c r="I40" s="6">
        <f>CNS!F36+CRR!F35</f>
        <v>-2050.44</v>
      </c>
      <c r="J40" s="6">
        <f>CNS!G36+CRR!G35</f>
        <v>-3872.4199999999992</v>
      </c>
      <c r="K40" s="123">
        <f>CNS!H36+CRR!H35</f>
        <v>-3362.5899999999997</v>
      </c>
      <c r="L40" s="6">
        <f>CNS!I36+CRR!I35</f>
        <v>0</v>
      </c>
      <c r="M40" s="6">
        <f>CNS!J36+CRR!J35</f>
        <v>0</v>
      </c>
      <c r="N40" s="123">
        <f>CNS!K36+CRR!K35</f>
        <v>0</v>
      </c>
      <c r="O40" s="6">
        <f>CNS!L36+CRR!L35</f>
        <v>0</v>
      </c>
      <c r="P40" s="6">
        <f>CNS!M36+CRR!M35</f>
        <v>0</v>
      </c>
      <c r="Q40" s="9">
        <f t="shared" si="2"/>
        <v>-21029.32</v>
      </c>
      <c r="R40" s="230">
        <f t="shared" si="7"/>
        <v>-1.0693951149021094E-2</v>
      </c>
      <c r="T40" s="219" t="s">
        <v>502</v>
      </c>
      <c r="U40" s="9">
        <f t="shared" si="3"/>
        <v>-3004.1885714285713</v>
      </c>
    </row>
    <row r="41" spans="4:21">
      <c r="D41" s="219" t="s">
        <v>501</v>
      </c>
      <c r="E41" s="123">
        <f>CNS!B37+CRR!B36</f>
        <v>-2716.7200000000003</v>
      </c>
      <c r="F41" s="6">
        <f>CNS!C37+CRR!C36</f>
        <v>-2556.94</v>
      </c>
      <c r="G41" s="6">
        <f>CNS!D37+CRR!D36</f>
        <v>-2836.51</v>
      </c>
      <c r="H41" s="123">
        <f>CNS!E37+CRR!E36</f>
        <v>-1856.51</v>
      </c>
      <c r="I41" s="6">
        <f>CNS!F37+CRR!F36</f>
        <v>-2356.5100000000002</v>
      </c>
      <c r="J41" s="6">
        <f>CNS!G37+CRR!G36</f>
        <v>-1422.3899999999999</v>
      </c>
      <c r="K41" s="123">
        <f>CNS!H37+CRR!H36</f>
        <v>-3514.1499999999996</v>
      </c>
      <c r="L41" s="6">
        <f>CNS!I37+CRR!I36</f>
        <v>0</v>
      </c>
      <c r="M41" s="6">
        <f>CNS!J37+CRR!J36</f>
        <v>0</v>
      </c>
      <c r="N41" s="123">
        <f>CNS!K37+CRR!K36</f>
        <v>0</v>
      </c>
      <c r="O41" s="6">
        <f>CNS!L37+CRR!L36</f>
        <v>0</v>
      </c>
      <c r="P41" s="6">
        <f>CNS!M37+CRR!M36</f>
        <v>0</v>
      </c>
      <c r="Q41" s="9">
        <f t="shared" si="2"/>
        <v>-17259.73</v>
      </c>
      <c r="R41" s="230">
        <f t="shared" si="7"/>
        <v>-8.7770174910693187E-3</v>
      </c>
      <c r="T41" s="219" t="s">
        <v>501</v>
      </c>
      <c r="U41" s="9">
        <f t="shared" si="3"/>
        <v>-2465.6757142857141</v>
      </c>
    </row>
    <row r="42" spans="4:21">
      <c r="D42" s="219" t="s">
        <v>500</v>
      </c>
      <c r="E42" s="123">
        <f>CNS!B38+CRR!B37</f>
        <v>-906.8599999999999</v>
      </c>
      <c r="F42" s="6">
        <f>CNS!C38+CRR!C37</f>
        <v>-906.8599999999999</v>
      </c>
      <c r="G42" s="6">
        <f>CNS!D38+CRR!D37</f>
        <v>-906.8599999999999</v>
      </c>
      <c r="H42" s="123">
        <f>CNS!E38+CRR!E37</f>
        <v>-906.8599999999999</v>
      </c>
      <c r="I42" s="6">
        <f>CNS!F38+CRR!F37</f>
        <v>-906.86</v>
      </c>
      <c r="J42" s="6">
        <f>CNS!G38+CRR!G37</f>
        <v>-906.8599999999999</v>
      </c>
      <c r="K42" s="123">
        <f>CNS!H38+CRR!H37</f>
        <v>-906.86</v>
      </c>
      <c r="L42" s="6">
        <f>CNS!I38+CRR!I37</f>
        <v>0</v>
      </c>
      <c r="M42" s="6">
        <f>CNS!J38+CRR!J37</f>
        <v>0</v>
      </c>
      <c r="N42" s="123">
        <f>CNS!K38+CRR!K37</f>
        <v>0</v>
      </c>
      <c r="O42" s="6">
        <f>CNS!L38+CRR!L37</f>
        <v>0</v>
      </c>
      <c r="P42" s="6">
        <f>CNS!M38+CRR!M37</f>
        <v>0</v>
      </c>
      <c r="Q42" s="9">
        <f t="shared" si="2"/>
        <v>-6348.0199999999986</v>
      </c>
      <c r="R42" s="230">
        <f t="shared" si="7"/>
        <v>-3.2281317595152328E-3</v>
      </c>
      <c r="T42" s="219" t="s">
        <v>500</v>
      </c>
      <c r="U42" s="9">
        <f t="shared" si="3"/>
        <v>-906.85999999999979</v>
      </c>
    </row>
    <row r="43" spans="4:21" outlineLevel="1">
      <c r="D43" s="219" t="s">
        <v>499</v>
      </c>
      <c r="E43" s="123">
        <f>CNS!B39+CRR!B38</f>
        <v>0</v>
      </c>
      <c r="F43" s="6">
        <f>CNS!C39+CRR!C38</f>
        <v>0</v>
      </c>
      <c r="G43" s="6">
        <f>CNS!D39+CRR!D38</f>
        <v>0</v>
      </c>
      <c r="H43" s="123">
        <f>CNS!E39+CRR!E38</f>
        <v>0</v>
      </c>
      <c r="I43" s="6">
        <f>CNS!F39+CRR!F38</f>
        <v>0</v>
      </c>
      <c r="J43" s="6">
        <f>CNS!G39+CRR!G38</f>
        <v>0</v>
      </c>
      <c r="K43" s="123">
        <f>CNS!H39+CRR!H38</f>
        <v>0</v>
      </c>
      <c r="L43" s="6">
        <f>CNS!I39+CRR!I38</f>
        <v>0</v>
      </c>
      <c r="M43" s="6">
        <f>CNS!J39+CRR!J38</f>
        <v>0</v>
      </c>
      <c r="N43" s="123">
        <f>CNS!K39+CRR!K38</f>
        <v>0</v>
      </c>
      <c r="O43" s="6">
        <f>CNS!L39+CRR!L38</f>
        <v>0</v>
      </c>
      <c r="P43" s="6">
        <f>CNS!M39+CRR!M38</f>
        <v>0</v>
      </c>
      <c r="Q43" s="9">
        <f t="shared" si="2"/>
        <v>0</v>
      </c>
      <c r="R43" s="230">
        <f t="shared" si="7"/>
        <v>0</v>
      </c>
      <c r="T43" s="219" t="s">
        <v>499</v>
      </c>
      <c r="U43" s="9">
        <f t="shared" si="3"/>
        <v>0</v>
      </c>
    </row>
    <row r="44" spans="4:21" outlineLevel="1">
      <c r="D44" s="219" t="s">
        <v>498</v>
      </c>
      <c r="E44" s="123">
        <f>CNS!B40+CRR!B39</f>
        <v>0</v>
      </c>
      <c r="F44" s="6">
        <f>CNS!C40+CRR!C39</f>
        <v>0</v>
      </c>
      <c r="G44" s="6">
        <f>CNS!D40+CRR!D39</f>
        <v>0</v>
      </c>
      <c r="H44" s="123">
        <f>CNS!E40+CRR!E39</f>
        <v>0</v>
      </c>
      <c r="I44" s="6">
        <f>CNS!F40+CRR!F39</f>
        <v>0</v>
      </c>
      <c r="J44" s="6">
        <f>CNS!G40+CRR!G39</f>
        <v>0</v>
      </c>
      <c r="K44" s="123">
        <f>CNS!H40+CRR!H39</f>
        <v>0</v>
      </c>
      <c r="L44" s="6">
        <f>CNS!I40+CRR!I39</f>
        <v>0</v>
      </c>
      <c r="M44" s="6">
        <f>CNS!J40+CRR!J39</f>
        <v>0</v>
      </c>
      <c r="N44" s="123">
        <f>CNS!K40+CRR!K39</f>
        <v>0</v>
      </c>
      <c r="O44" s="6">
        <f>CNS!L40+CRR!L39</f>
        <v>0</v>
      </c>
      <c r="P44" s="6">
        <f>CNS!M40+CRR!M39</f>
        <v>0</v>
      </c>
      <c r="Q44" s="9">
        <f t="shared" si="2"/>
        <v>0</v>
      </c>
      <c r="R44" s="230">
        <f t="shared" si="7"/>
        <v>0</v>
      </c>
      <c r="T44" s="219" t="s">
        <v>498</v>
      </c>
      <c r="U44" s="9">
        <f t="shared" si="3"/>
        <v>0</v>
      </c>
    </row>
    <row r="45" spans="4:21" outlineLevel="1">
      <c r="D45" s="219" t="s">
        <v>497</v>
      </c>
      <c r="E45" s="123">
        <f>CNS!B41+CRR!B40</f>
        <v>0</v>
      </c>
      <c r="F45" s="6">
        <f>CNS!C41+CRR!C40</f>
        <v>0</v>
      </c>
      <c r="G45" s="6">
        <f>CNS!D41+CRR!D40</f>
        <v>0</v>
      </c>
      <c r="H45" s="123">
        <f>CNS!E41+CRR!E40</f>
        <v>0</v>
      </c>
      <c r="I45" s="6">
        <f>CNS!F41+CRR!F40</f>
        <v>0</v>
      </c>
      <c r="J45" s="6">
        <f>CNS!G41+CRR!G40</f>
        <v>0</v>
      </c>
      <c r="K45" s="123">
        <f>CNS!H41+CRR!H40</f>
        <v>0</v>
      </c>
      <c r="L45" s="6">
        <f>CNS!I41+CRR!I40</f>
        <v>0</v>
      </c>
      <c r="M45" s="6">
        <f>CNS!J41+CRR!J40</f>
        <v>0</v>
      </c>
      <c r="N45" s="123">
        <f>CNS!K41+CRR!K40</f>
        <v>0</v>
      </c>
      <c r="O45" s="6">
        <f>CNS!L41+CRR!L40</f>
        <v>0</v>
      </c>
      <c r="P45" s="6">
        <f>CNS!M41+CRR!M40</f>
        <v>0</v>
      </c>
      <c r="Q45" s="9">
        <f t="shared" si="2"/>
        <v>0</v>
      </c>
      <c r="R45" s="230">
        <f t="shared" si="7"/>
        <v>0</v>
      </c>
      <c r="T45" s="219" t="s">
        <v>497</v>
      </c>
      <c r="U45" s="9">
        <f t="shared" si="3"/>
        <v>0</v>
      </c>
    </row>
    <row r="46" spans="4:21">
      <c r="D46" s="218" t="s">
        <v>18</v>
      </c>
      <c r="E46" s="212">
        <f>CNS!B42+CRR!B41</f>
        <v>-4814.4800000000032</v>
      </c>
      <c r="F46" s="208">
        <f>CNS!C42+CRR!C41</f>
        <v>73205.26999999999</v>
      </c>
      <c r="G46" s="208">
        <f>CNS!D42+CRR!D41</f>
        <v>42036.290000000117</v>
      </c>
      <c r="H46" s="212">
        <f>CNS!E42+CRR!E41</f>
        <v>-15400.709999999906</v>
      </c>
      <c r="I46" s="208">
        <f>CNS!F42+CRR!F41</f>
        <v>46543.059999999961</v>
      </c>
      <c r="J46" s="208">
        <f>CNS!G42+CRR!G41</f>
        <v>86619.880000000034</v>
      </c>
      <c r="K46" s="212">
        <f>CNS!H42+CRR!H41</f>
        <v>-4722.4699999999611</v>
      </c>
      <c r="L46" s="208">
        <f>CNS!I42+CRR!I41</f>
        <v>0</v>
      </c>
      <c r="M46" s="208">
        <f>CNS!J42+CRR!J41</f>
        <v>0</v>
      </c>
      <c r="N46" s="212">
        <f>CNS!K42+CRR!K41</f>
        <v>0</v>
      </c>
      <c r="O46" s="208">
        <f>CNS!L42+CRR!L41</f>
        <v>0</v>
      </c>
      <c r="P46" s="208">
        <f>CNS!M42+CRR!M41</f>
        <v>0</v>
      </c>
      <c r="Q46" s="215">
        <f t="shared" si="2"/>
        <v>223466.84000000023</v>
      </c>
      <c r="R46" s="12">
        <f>Q46/$Q$7</f>
        <v>0.11363864691707176</v>
      </c>
      <c r="S46" s="12">
        <f>Q46/$Q$27</f>
        <v>0.26146668186167576</v>
      </c>
      <c r="T46" s="330" t="s">
        <v>18</v>
      </c>
      <c r="U46" s="215">
        <f t="shared" si="3"/>
        <v>31923.834285714318</v>
      </c>
    </row>
    <row r="47" spans="4:21">
      <c r="D47" s="221" t="s">
        <v>19</v>
      </c>
      <c r="E47" s="122">
        <f>CNS!B43+CRR!B42</f>
        <v>-1262.8599999999976</v>
      </c>
      <c r="F47" s="10">
        <f>CNS!C43+CRR!C42</f>
        <v>-973.19999999999879</v>
      </c>
      <c r="G47" s="10">
        <f>CNS!D43+CRR!D42</f>
        <v>-337.74999999999676</v>
      </c>
      <c r="H47" s="122">
        <f>CNS!E43+CRR!E42</f>
        <v>-751.95999999999879</v>
      </c>
      <c r="I47" s="10">
        <f>CNS!F43+CRR!F42</f>
        <v>271.08</v>
      </c>
      <c r="J47" s="10">
        <f>CNS!G43+CRR!G42</f>
        <v>-3516.4399999999996</v>
      </c>
      <c r="K47" s="122">
        <f>CNS!H43+CRR!H42</f>
        <v>-129.72000000000048</v>
      </c>
      <c r="L47" s="10">
        <f>CNS!I43+CRR!I42</f>
        <v>0</v>
      </c>
      <c r="M47" s="10">
        <f>CNS!J43+CRR!J42</f>
        <v>0</v>
      </c>
      <c r="N47" s="122">
        <f>CNS!K43+CRR!K42</f>
        <v>0</v>
      </c>
      <c r="O47" s="10">
        <f>CNS!L43+CRR!L42</f>
        <v>0</v>
      </c>
      <c r="P47" s="10">
        <f>CNS!M43+CRR!M42</f>
        <v>0</v>
      </c>
      <c r="Q47" s="11">
        <f t="shared" si="2"/>
        <v>-6700.8499999999922</v>
      </c>
      <c r="R47" s="230">
        <f t="shared" si="7"/>
        <v>-3.4075549070021246E-3</v>
      </c>
      <c r="T47" s="221" t="s">
        <v>19</v>
      </c>
      <c r="U47" s="11">
        <f t="shared" si="3"/>
        <v>-957.2642857142846</v>
      </c>
    </row>
    <row r="48" spans="4:21">
      <c r="D48" s="221" t="s">
        <v>20</v>
      </c>
      <c r="E48" s="122">
        <f>CNS!B44+CRR!B43</f>
        <v>8.6300000000000008</v>
      </c>
      <c r="F48" s="10">
        <f>CNS!C44+CRR!C43</f>
        <v>1.89</v>
      </c>
      <c r="G48" s="10">
        <f>CNS!D44+CRR!D43</f>
        <v>0.6</v>
      </c>
      <c r="H48" s="122">
        <f>CNS!E44+CRR!E43</f>
        <v>3.45</v>
      </c>
      <c r="I48" s="10">
        <f>CNS!F44+CRR!F43</f>
        <v>5.19</v>
      </c>
      <c r="J48" s="10">
        <f>CNS!G44+CRR!G43</f>
        <v>0</v>
      </c>
      <c r="K48" s="122">
        <f>CNS!H44+CRR!H43</f>
        <v>-50</v>
      </c>
      <c r="L48" s="10">
        <f>CNS!I44+CRR!I43</f>
        <v>0</v>
      </c>
      <c r="M48" s="10">
        <f>CNS!J44+CRR!J43</f>
        <v>0</v>
      </c>
      <c r="N48" s="122">
        <f>CNS!K44+CRR!K43</f>
        <v>0</v>
      </c>
      <c r="O48" s="10">
        <f>CNS!L44+CRR!L43</f>
        <v>0</v>
      </c>
      <c r="P48" s="10">
        <f>CNS!M44+CRR!M43</f>
        <v>0</v>
      </c>
      <c r="Q48" s="11">
        <f t="shared" si="2"/>
        <v>-30.24</v>
      </c>
      <c r="R48" s="230">
        <f t="shared" si="7"/>
        <v>-1.5377819289753443E-5</v>
      </c>
      <c r="T48" s="221" t="s">
        <v>20</v>
      </c>
      <c r="U48" s="11">
        <f t="shared" si="3"/>
        <v>-4.3199999999999994</v>
      </c>
    </row>
    <row r="49" spans="4:21">
      <c r="D49" s="218" t="s">
        <v>21</v>
      </c>
      <c r="E49" s="212">
        <f>CNS!B45+CRR!B44</f>
        <v>-6068.7100000000009</v>
      </c>
      <c r="F49" s="208">
        <f>CNS!C45+CRR!C44</f>
        <v>72233.959999999992</v>
      </c>
      <c r="G49" s="208">
        <f>CNS!D45+CRR!D44</f>
        <v>41699.140000000116</v>
      </c>
      <c r="H49" s="212">
        <f>CNS!E45+CRR!E44</f>
        <v>-16149.219999999905</v>
      </c>
      <c r="I49" s="208">
        <f>CNS!F45+CRR!F44</f>
        <v>46819.329999999965</v>
      </c>
      <c r="J49" s="208">
        <f>CNS!G45+CRR!G44</f>
        <v>83103.440000000031</v>
      </c>
      <c r="K49" s="212">
        <f>CNS!H45+CRR!H44</f>
        <v>-4902.1899999999623</v>
      </c>
      <c r="L49" s="208">
        <f>CNS!I45+CRR!I44</f>
        <v>0</v>
      </c>
      <c r="M49" s="208">
        <f>CNS!J45+CRR!J44</f>
        <v>0</v>
      </c>
      <c r="N49" s="212">
        <f>CNS!K45+CRR!K44</f>
        <v>0</v>
      </c>
      <c r="O49" s="208">
        <f>CNS!L45+CRR!L44</f>
        <v>0</v>
      </c>
      <c r="P49" s="208">
        <f>CNS!M45+CRR!M44</f>
        <v>0</v>
      </c>
      <c r="Q49" s="215">
        <f t="shared" si="2"/>
        <v>216735.75000000023</v>
      </c>
      <c r="R49" s="12">
        <f>Q49/$Q$7</f>
        <v>0.11021571419077988</v>
      </c>
      <c r="S49" s="12">
        <f>Q49/$Q$27</f>
        <v>0.25359099091973425</v>
      </c>
      <c r="T49" s="330" t="s">
        <v>21</v>
      </c>
      <c r="U49" s="215">
        <f t="shared" si="3"/>
        <v>30962.250000000033</v>
      </c>
    </row>
    <row r="50" spans="4:21">
      <c r="D50" s="221" t="s">
        <v>22</v>
      </c>
      <c r="E50" s="122">
        <f>CNS!B46+CRR!B45</f>
        <v>-10236.57</v>
      </c>
      <c r="F50" s="10">
        <f>CNS!C46+CRR!C45</f>
        <v>-10119.25</v>
      </c>
      <c r="G50" s="10">
        <f>CNS!D46+CRR!D45</f>
        <v>-8739.58</v>
      </c>
      <c r="H50" s="122">
        <f>CNS!E46+CRR!E45</f>
        <v>-10636.86</v>
      </c>
      <c r="I50" s="10">
        <f>CNS!F46+CRR!F45</f>
        <v>-9270.0299999999988</v>
      </c>
      <c r="J50" s="10">
        <f>CNS!G46+CRR!G45</f>
        <v>-9126.119999999999</v>
      </c>
      <c r="K50" s="122">
        <f>CNS!H46+CRR!H45</f>
        <v>-9386.01</v>
      </c>
      <c r="L50" s="10">
        <f>CNS!I46+CRR!I45</f>
        <v>0</v>
      </c>
      <c r="M50" s="10">
        <f>CNS!J46+CRR!J45</f>
        <v>0</v>
      </c>
      <c r="N50" s="122">
        <f>CNS!K46+CRR!K45</f>
        <v>0</v>
      </c>
      <c r="O50" s="10">
        <f>CNS!L46+CRR!L45</f>
        <v>0</v>
      </c>
      <c r="P50" s="10">
        <f>CNS!M46+CRR!M45</f>
        <v>0</v>
      </c>
      <c r="Q50" s="11">
        <f t="shared" si="2"/>
        <v>-67514.42</v>
      </c>
      <c r="R50" s="230">
        <f t="shared" si="7"/>
        <v>-3.4332822427662557E-2</v>
      </c>
      <c r="T50" s="221" t="s">
        <v>22</v>
      </c>
      <c r="U50" s="11">
        <f t="shared" si="3"/>
        <v>-9644.9171428571426</v>
      </c>
    </row>
    <row r="51" spans="4:21">
      <c r="D51" s="222" t="s">
        <v>532</v>
      </c>
      <c r="E51" s="123">
        <f>CNS!B47+CRR!B46</f>
        <v>0</v>
      </c>
      <c r="F51" s="6">
        <f>CNS!C47+CRR!C46</f>
        <v>-278.08999999999997</v>
      </c>
      <c r="G51" s="6">
        <f>CNS!D47+CRR!D46</f>
        <v>0</v>
      </c>
      <c r="H51" s="123">
        <f>CNS!E47+CRR!E46</f>
        <v>-558.89</v>
      </c>
      <c r="I51" s="6">
        <f>CNS!F47+CRR!F46</f>
        <v>0</v>
      </c>
      <c r="J51" s="6">
        <f>CNS!G47+CRR!G46</f>
        <v>0</v>
      </c>
      <c r="K51" s="123">
        <f>CNS!H47+CRR!H46</f>
        <v>0</v>
      </c>
      <c r="L51" s="6">
        <f>CNS!I47+CRR!I46</f>
        <v>0</v>
      </c>
      <c r="M51" s="6">
        <f>CNS!J47+CRR!J46</f>
        <v>0</v>
      </c>
      <c r="N51" s="123">
        <f>CNS!K47+CRR!K46</f>
        <v>0</v>
      </c>
      <c r="O51" s="6">
        <f>CNS!L47+CRR!L46</f>
        <v>0</v>
      </c>
      <c r="P51" s="6">
        <f>CNS!M47+CRR!M46</f>
        <v>0</v>
      </c>
      <c r="Q51" s="9">
        <f t="shared" si="2"/>
        <v>-836.98</v>
      </c>
      <c r="R51" s="230">
        <f t="shared" si="7"/>
        <v>-4.25625899111701E-4</v>
      </c>
      <c r="T51" s="331" t="s">
        <v>532</v>
      </c>
      <c r="U51" s="9">
        <f t="shared" si="3"/>
        <v>-119.56857142857143</v>
      </c>
    </row>
    <row r="52" spans="4:21">
      <c r="D52" s="222" t="s">
        <v>533</v>
      </c>
      <c r="E52" s="123">
        <f>CNS!B48+CRR!B47</f>
        <v>-10236.57</v>
      </c>
      <c r="F52" s="6">
        <f>CNS!C48+CRR!C47</f>
        <v>-9841.16</v>
      </c>
      <c r="G52" s="6">
        <f>CNS!D48+CRR!D47</f>
        <v>-8739.58</v>
      </c>
      <c r="H52" s="123">
        <f>CNS!E48+CRR!E47</f>
        <v>-10077.970000000001</v>
      </c>
      <c r="I52" s="6">
        <f>CNS!F48+CRR!F47</f>
        <v>-9270.0299999999988</v>
      </c>
      <c r="J52" s="6">
        <f>CNS!G48+CRR!G47</f>
        <v>-9126.119999999999</v>
      </c>
      <c r="K52" s="123">
        <f>CNS!H48+CRR!H47</f>
        <v>-9386.01</v>
      </c>
      <c r="L52" s="6">
        <f>CNS!I48+CRR!I47</f>
        <v>0</v>
      </c>
      <c r="M52" s="6">
        <f>CNS!J48+CRR!J47</f>
        <v>0</v>
      </c>
      <c r="N52" s="123">
        <f>CNS!K48+CRR!K47</f>
        <v>0</v>
      </c>
      <c r="O52" s="6">
        <f>CNS!L48+CRR!L47</f>
        <v>0</v>
      </c>
      <c r="P52" s="6">
        <f>CNS!M48+CRR!M47</f>
        <v>0</v>
      </c>
      <c r="Q52" s="9">
        <f t="shared" si="2"/>
        <v>-66677.439999999988</v>
      </c>
      <c r="R52" s="230">
        <f t="shared" si="7"/>
        <v>-3.3907196528550849E-2</v>
      </c>
      <c r="T52" s="331" t="s">
        <v>533</v>
      </c>
      <c r="U52" s="9">
        <f t="shared" si="3"/>
        <v>-9525.3485714285689</v>
      </c>
    </row>
    <row r="53" spans="4:21">
      <c r="D53" s="223" t="s">
        <v>23</v>
      </c>
      <c r="E53" s="213">
        <f>CNS!B49+CRR!B48</f>
        <v>-16305.28</v>
      </c>
      <c r="F53" s="211">
        <f>CNS!C49+CRR!C48</f>
        <v>62114.709999999992</v>
      </c>
      <c r="G53" s="211">
        <f>CNS!D49+CRR!D48</f>
        <v>32959.560000000121</v>
      </c>
      <c r="H53" s="213">
        <f>CNS!E49+CRR!E48</f>
        <v>-26786.079999999907</v>
      </c>
      <c r="I53" s="211">
        <f>CNS!F49+CRR!F48</f>
        <v>37549.299999999967</v>
      </c>
      <c r="J53" s="211">
        <f>CNS!G49+CRR!G48</f>
        <v>73977.320000000036</v>
      </c>
      <c r="K53" s="213">
        <f>CNS!H49+CRR!H48</f>
        <v>-14288.199999999964</v>
      </c>
      <c r="L53" s="211">
        <f>CNS!I49+CRR!I48</f>
        <v>0</v>
      </c>
      <c r="M53" s="211">
        <f>CNS!J49+CRR!J48</f>
        <v>0</v>
      </c>
      <c r="N53" s="213">
        <f>CNS!K49+CRR!K48</f>
        <v>0</v>
      </c>
      <c r="O53" s="211">
        <f>CNS!L49+CRR!L48</f>
        <v>0</v>
      </c>
      <c r="P53" s="211">
        <f>CNS!M49+CRR!M48</f>
        <v>0</v>
      </c>
      <c r="Q53" s="216">
        <f>SUM(E53:P53)</f>
        <v>149221.33000000025</v>
      </c>
      <c r="R53" s="12">
        <f>Q53/$Q$7</f>
        <v>7.5882891763117341E-2</v>
      </c>
      <c r="S53" s="12">
        <f>Q53/$Q$27</f>
        <v>0.17459595355662685</v>
      </c>
      <c r="T53" s="332" t="s">
        <v>23</v>
      </c>
      <c r="U53" s="216">
        <f t="shared" si="3"/>
        <v>21317.332857142894</v>
      </c>
    </row>
    <row r="58" spans="4:21">
      <c r="D58" s="13" t="s">
        <v>27</v>
      </c>
      <c r="E58" s="14">
        <f>E46+(-E21)</f>
        <v>96700.12</v>
      </c>
      <c r="F58" s="14">
        <f t="shared" ref="F58:P58" si="8">F46+(-F21)</f>
        <v>97237.609999999986</v>
      </c>
      <c r="G58" s="14">
        <f>G46+(-G21)</f>
        <v>69380.730000000112</v>
      </c>
      <c r="H58" s="14">
        <f>H46+(-H21)</f>
        <v>74481.450000000099</v>
      </c>
      <c r="I58" s="14">
        <f t="shared" si="8"/>
        <v>69807.299999999959</v>
      </c>
      <c r="J58" s="14">
        <f t="shared" si="8"/>
        <v>111794.45000000004</v>
      </c>
      <c r="K58" s="14">
        <f t="shared" si="8"/>
        <v>103892.87000000004</v>
      </c>
      <c r="L58" s="14">
        <f t="shared" si="8"/>
        <v>0</v>
      </c>
      <c r="M58" s="14">
        <f t="shared" si="8"/>
        <v>0</v>
      </c>
      <c r="N58" s="14">
        <f t="shared" si="8"/>
        <v>0</v>
      </c>
      <c r="O58" s="14">
        <f t="shared" si="8"/>
        <v>0</v>
      </c>
      <c r="P58" s="14">
        <f t="shared" si="8"/>
        <v>0</v>
      </c>
      <c r="Q58" s="14">
        <f>Q46+(-Q21)</f>
        <v>623294.53000000026</v>
      </c>
    </row>
    <row r="59" spans="4:21" outlineLevel="1">
      <c r="D59" s="13" t="s">
        <v>28</v>
      </c>
      <c r="E59" s="14">
        <f>IF(E7&gt;0,Caixa!F6,0)</f>
        <v>328679.42</v>
      </c>
      <c r="F59" s="14">
        <f>IF(F7&gt;0,Caixa!G6,0)</f>
        <v>326651.90999999997</v>
      </c>
      <c r="G59" s="14">
        <f>IF(G7&gt;0,Caixa!H6,0)</f>
        <v>359161.59</v>
      </c>
      <c r="H59" s="14">
        <f>IF(H7&gt;0,Caixa!I6,0)</f>
        <v>358806.95999999996</v>
      </c>
      <c r="I59" s="14">
        <f>IF(I7&gt;0,Caixa!J6,0)</f>
        <v>423235.4800000001</v>
      </c>
      <c r="J59" s="14">
        <f>IF(J7&gt;0,Caixa!K6,0)</f>
        <v>430815.65</v>
      </c>
      <c r="K59" s="14">
        <f>IF(K7&gt;0,Caixa!L6,0)</f>
        <v>358819.06</v>
      </c>
      <c r="L59" s="14">
        <f>IF(L7&gt;0,Caixa!M6,0)</f>
        <v>0</v>
      </c>
      <c r="M59" s="14">
        <f>IF(M7&gt;0,Caixa!N6,0)</f>
        <v>0</v>
      </c>
      <c r="N59" s="14">
        <f>IF(N7&gt;0,Caixa!O6,0)</f>
        <v>0</v>
      </c>
      <c r="O59" s="14">
        <f>IF(O7&gt;0,Caixa!P6,0)</f>
        <v>0</v>
      </c>
      <c r="P59" s="14">
        <f>IF(P7&gt;0,Caixa!Q6,0)</f>
        <v>0</v>
      </c>
      <c r="Q59" s="14"/>
    </row>
    <row r="60" spans="4:21" outlineLevel="1">
      <c r="D60" s="13" t="s">
        <v>29</v>
      </c>
      <c r="E60" s="14">
        <f>'Orçamento 2026'!C129</f>
        <v>328679.42</v>
      </c>
      <c r="F60" s="14">
        <f>'Orçamento 2026'!D129</f>
        <v>375009.95311790355</v>
      </c>
      <c r="G60" s="14">
        <f>'Orçamento 2026'!E129</f>
        <v>422405.7776815762</v>
      </c>
      <c r="H60" s="14">
        <f>'Orçamento 2026'!F129</f>
        <v>390575.13483866001</v>
      </c>
      <c r="I60" s="14">
        <f>'Orçamento 2026'!G129</f>
        <v>437901.91444082774</v>
      </c>
      <c r="J60" s="14">
        <f>'Orçamento 2026'!H129</f>
        <v>427111.47848492453</v>
      </c>
      <c r="K60" s="14">
        <f>'Orçamento 2026'!I129</f>
        <v>365928.65357795119</v>
      </c>
      <c r="L60" s="14">
        <f>'Orçamento 2026'!J129</f>
        <v>332532.7969547137</v>
      </c>
      <c r="M60" s="14">
        <f>'Orçamento 2026'!K129</f>
        <v>348730.71935332526</v>
      </c>
      <c r="N60" s="14">
        <f>'Orçamento 2026'!L129</f>
        <v>326822.01423769858</v>
      </c>
      <c r="O60" s="14">
        <f>'Orçamento 2026'!M129</f>
        <v>349702.03706345224</v>
      </c>
      <c r="P60" s="14">
        <f>'Orçamento 2026'!N129</f>
        <v>372170.36501251266</v>
      </c>
      <c r="Q60" s="14"/>
    </row>
    <row r="61" spans="4:21" outlineLevel="1">
      <c r="D61" s="13" t="s">
        <v>30</v>
      </c>
      <c r="E61" s="14">
        <f>IF(E59&gt;0,E59-E60,0)</f>
        <v>0</v>
      </c>
      <c r="F61" s="14">
        <f t="shared" ref="F61:P61" si="9">IF(F59&gt;0,F59-F60,0)</f>
        <v>-48358.04311790358</v>
      </c>
      <c r="G61" s="14">
        <f t="shared" si="9"/>
        <v>-63244.187681576179</v>
      </c>
      <c r="H61" s="14">
        <f t="shared" si="9"/>
        <v>-31768.174838660052</v>
      </c>
      <c r="I61" s="14">
        <f t="shared" si="9"/>
        <v>-14666.434440827637</v>
      </c>
      <c r="J61" s="14">
        <f t="shared" si="9"/>
        <v>3704.1715150754899</v>
      </c>
      <c r="K61" s="14">
        <f t="shared" si="9"/>
        <v>-7109.5935779511929</v>
      </c>
      <c r="L61" s="14">
        <f t="shared" si="9"/>
        <v>0</v>
      </c>
      <c r="M61" s="14">
        <f t="shared" si="9"/>
        <v>0</v>
      </c>
      <c r="N61" s="14">
        <f t="shared" si="9"/>
        <v>0</v>
      </c>
      <c r="O61" s="14">
        <f t="shared" si="9"/>
        <v>0</v>
      </c>
      <c r="P61" s="14">
        <f t="shared" si="9"/>
        <v>0</v>
      </c>
      <c r="Q61" s="14"/>
    </row>
    <row r="63" spans="4:21">
      <c r="D63" s="13" t="s">
        <v>31</v>
      </c>
      <c r="E63" s="18">
        <f>IF(E58&lt;&gt;0,E58/E7,"")</f>
        <v>0.34236926245857008</v>
      </c>
      <c r="F63" s="18">
        <f t="shared" ref="F63:P63" si="10">IF(F58&lt;&gt;0,F58/F7,"")</f>
        <v>0.34118909779300943</v>
      </c>
      <c r="G63" s="18">
        <f t="shared" si="10"/>
        <v>0.25433159204659478</v>
      </c>
      <c r="H63" s="18">
        <f t="shared" si="10"/>
        <v>0.27924892798881018</v>
      </c>
      <c r="I63" s="18">
        <f t="shared" si="10"/>
        <v>0.25170788294773755</v>
      </c>
      <c r="J63" s="18">
        <f t="shared" si="10"/>
        <v>0.37072303899745684</v>
      </c>
      <c r="K63" s="18">
        <f t="shared" si="10"/>
        <v>0.37022739152305684</v>
      </c>
      <c r="L63" s="18" t="str">
        <f t="shared" si="10"/>
        <v/>
      </c>
      <c r="M63" s="18" t="str">
        <f t="shared" si="10"/>
        <v/>
      </c>
      <c r="N63" s="18" t="str">
        <f t="shared" si="10"/>
        <v/>
      </c>
      <c r="O63" s="18" t="str">
        <f t="shared" si="10"/>
        <v/>
      </c>
      <c r="P63" s="18" t="str">
        <f t="shared" si="10"/>
        <v/>
      </c>
      <c r="Q63" s="18">
        <f>IF(Q58&lt;&gt;0,Q58/Q7,"")</f>
        <v>0.31696133090713663</v>
      </c>
    </row>
    <row r="64" spans="4:21">
      <c r="D64" s="13" t="s">
        <v>32</v>
      </c>
      <c r="E64" s="18">
        <f>IF(E34&lt;&gt;0,E34/E7,"")</f>
        <v>6.6091064516769729E-2</v>
      </c>
      <c r="F64" s="18">
        <f t="shared" ref="F64:Q64" si="11">IF(F34&lt;&gt;0,F34/F7,"")</f>
        <v>0.34168001655039376</v>
      </c>
      <c r="G64" s="18">
        <f>IF(G34&lt;&gt;0,G34/G7,"")</f>
        <v>0.24440462638154828</v>
      </c>
      <c r="H64" s="18">
        <f t="shared" si="11"/>
        <v>2.1487126811300977E-2</v>
      </c>
      <c r="I64" s="18">
        <f t="shared" si="11"/>
        <v>0.24243489578544425</v>
      </c>
      <c r="J64" s="18">
        <f t="shared" si="11"/>
        <v>0.35445415501840499</v>
      </c>
      <c r="K64" s="18">
        <f t="shared" si="11"/>
        <v>9.1407041887529655E-2</v>
      </c>
      <c r="L64" s="18" t="str">
        <f t="shared" si="11"/>
        <v/>
      </c>
      <c r="M64" s="18" t="str">
        <f t="shared" si="11"/>
        <v/>
      </c>
      <c r="N64" s="18" t="str">
        <f t="shared" si="11"/>
        <v/>
      </c>
      <c r="O64" s="18" t="str">
        <f t="shared" si="11"/>
        <v/>
      </c>
      <c r="P64" s="18" t="str">
        <f t="shared" si="11"/>
        <v/>
      </c>
      <c r="Q64" s="18">
        <f t="shared" si="11"/>
        <v>0.19742133396195263</v>
      </c>
    </row>
    <row r="65" spans="4:17">
      <c r="D65" s="13" t="s">
        <v>33</v>
      </c>
      <c r="E65" s="18">
        <f>IF(E49&lt;&gt;0,E49/E7,"")</f>
        <v>-2.1486423871810597E-2</v>
      </c>
      <c r="F65" s="18">
        <f t="shared" ref="F65:Q65" si="12">IF(F49&lt;&gt;0,F49/F7,"")</f>
        <v>0.25345583506645558</v>
      </c>
      <c r="G65" s="18">
        <f t="shared" si="12"/>
        <v>0.15285813024991024</v>
      </c>
      <c r="H65" s="18">
        <f t="shared" si="12"/>
        <v>-6.0547322492451747E-2</v>
      </c>
      <c r="I65" s="18">
        <f t="shared" si="12"/>
        <v>0.16881894064562725</v>
      </c>
      <c r="J65" s="18">
        <f t="shared" si="12"/>
        <v>0.27558040518060434</v>
      </c>
      <c r="K65" s="18">
        <f t="shared" si="12"/>
        <v>-1.7469197033929271E-2</v>
      </c>
      <c r="L65" s="18" t="str">
        <f t="shared" si="12"/>
        <v/>
      </c>
      <c r="M65" s="18" t="str">
        <f t="shared" si="12"/>
        <v/>
      </c>
      <c r="N65" s="18" t="str">
        <f t="shared" si="12"/>
        <v/>
      </c>
      <c r="O65" s="18" t="str">
        <f t="shared" si="12"/>
        <v/>
      </c>
      <c r="P65" s="18" t="str">
        <f t="shared" si="12"/>
        <v/>
      </c>
      <c r="Q65" s="18">
        <f t="shared" si="12"/>
        <v>0.11021571419077988</v>
      </c>
    </row>
    <row r="66" spans="4:17">
      <c r="D66" s="13" t="s">
        <v>34</v>
      </c>
      <c r="E66" s="18">
        <f>IF(E53&lt;&gt;0,E53/E7,"")</f>
        <v>-5.7729263291301749E-2</v>
      </c>
      <c r="F66" s="18">
        <f t="shared" ref="F66:Q66" si="13">IF(F53&lt;&gt;0,F53/F7,"")</f>
        <v>0.21794922627751157</v>
      </c>
      <c r="G66" s="18">
        <f t="shared" si="13"/>
        <v>0.1208211180244901</v>
      </c>
      <c r="H66" s="18">
        <f t="shared" si="13"/>
        <v>-0.10042747724463572</v>
      </c>
      <c r="I66" s="18">
        <f t="shared" si="13"/>
        <v>0.13539350195709443</v>
      </c>
      <c r="J66" s="18">
        <f t="shared" si="13"/>
        <v>0.24531715919070532</v>
      </c>
      <c r="K66" s="18">
        <f t="shared" si="13"/>
        <v>-5.0916708870971855E-2</v>
      </c>
      <c r="L66" s="18" t="str">
        <f t="shared" si="13"/>
        <v/>
      </c>
      <c r="M66" s="18" t="str">
        <f t="shared" si="13"/>
        <v/>
      </c>
      <c r="N66" s="18" t="str">
        <f t="shared" si="13"/>
        <v/>
      </c>
      <c r="O66" s="18" t="str">
        <f t="shared" si="13"/>
        <v/>
      </c>
      <c r="P66" s="18" t="str">
        <f t="shared" si="13"/>
        <v/>
      </c>
      <c r="Q66" s="18">
        <f t="shared" si="13"/>
        <v>7.5882891763117341E-2</v>
      </c>
    </row>
    <row r="70" spans="4:17">
      <c r="D70" s="242"/>
      <c r="E70" s="243"/>
    </row>
    <row r="71" spans="4:17">
      <c r="D71" s="242"/>
      <c r="E71" s="24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2"/>
  <sheetViews>
    <sheetView topLeftCell="D1" zoomScale="110" zoomScaleNormal="110" workbookViewId="0">
      <selection activeCell="L2" sqref="L2"/>
    </sheetView>
  </sheetViews>
  <sheetFormatPr baseColWidth="10" defaultColWidth="10.6640625" defaultRowHeight="15" outlineLevelRow="1"/>
  <cols>
    <col min="4" max="5" width="17.6640625" customWidth="1"/>
    <col min="6" max="6" width="13.5" customWidth="1"/>
    <col min="7" max="7" width="12.83203125" customWidth="1"/>
    <col min="8" max="9" width="13.5" customWidth="1"/>
    <col min="10" max="14" width="12.83203125" customWidth="1"/>
    <col min="15" max="15" width="13.5" customWidth="1"/>
    <col min="16" max="16" width="14" customWidth="1"/>
    <col min="17" max="17" width="17" customWidth="1"/>
    <col min="18" max="18" width="14.33203125" customWidth="1"/>
    <col min="19" max="19" width="13.5" customWidth="1"/>
    <col min="20" max="20" width="12.83203125" customWidth="1"/>
    <col min="21" max="21" width="14.33203125" customWidth="1"/>
    <col min="22" max="22" width="16.5" customWidth="1"/>
    <col min="23" max="23" width="12.5" customWidth="1"/>
  </cols>
  <sheetData>
    <row r="1" spans="4:23" ht="15" customHeight="1"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4:23" ht="15" customHeight="1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4:23" ht="15" customHeight="1">
      <c r="E3" s="3"/>
      <c r="H3" s="48"/>
      <c r="I3" s="49"/>
      <c r="J3" s="50"/>
      <c r="K3" s="374"/>
      <c r="L3" s="374"/>
      <c r="N3" s="48"/>
      <c r="O3" s="48"/>
      <c r="P3" s="49"/>
      <c r="Q3" s="48"/>
    </row>
    <row r="4" spans="4:23" ht="15" customHeight="1">
      <c r="T4" s="51" t="s">
        <v>101</v>
      </c>
      <c r="U4" s="52"/>
    </row>
    <row r="5" spans="4:23" ht="15" customHeight="1">
      <c r="D5" s="53" t="s">
        <v>102</v>
      </c>
      <c r="E5" s="54" t="s">
        <v>103</v>
      </c>
      <c r="F5" s="54">
        <v>46023</v>
      </c>
      <c r="G5" s="55" t="s">
        <v>104</v>
      </c>
      <c r="H5" s="56">
        <v>46082</v>
      </c>
      <c r="I5" s="54">
        <v>46113</v>
      </c>
      <c r="J5" s="57">
        <v>46143</v>
      </c>
      <c r="K5" s="56">
        <v>46174</v>
      </c>
      <c r="L5" s="58" t="s">
        <v>105</v>
      </c>
      <c r="M5" s="59" t="s">
        <v>106</v>
      </c>
      <c r="N5" s="60" t="s">
        <v>107</v>
      </c>
      <c r="O5" s="58" t="s">
        <v>108</v>
      </c>
      <c r="P5" s="61" t="s">
        <v>109</v>
      </c>
      <c r="Q5" s="60" t="s">
        <v>110</v>
      </c>
      <c r="R5" s="62" t="s">
        <v>111</v>
      </c>
    </row>
    <row r="6" spans="4:23" ht="15" customHeight="1">
      <c r="D6" s="63" t="s">
        <v>112</v>
      </c>
      <c r="E6" s="7">
        <f t="shared" ref="E6:Q6" si="0">E7+E10+E13+E16</f>
        <v>503909.50999999995</v>
      </c>
      <c r="F6" s="7">
        <f t="shared" si="0"/>
        <v>328679.42</v>
      </c>
      <c r="G6" s="64">
        <f t="shared" si="0"/>
        <v>326651.90999999997</v>
      </c>
      <c r="H6" s="65">
        <f t="shared" si="0"/>
        <v>359161.59</v>
      </c>
      <c r="I6" s="7">
        <f t="shared" si="0"/>
        <v>358806.95999999996</v>
      </c>
      <c r="J6" s="64">
        <f t="shared" si="0"/>
        <v>423235.4800000001</v>
      </c>
      <c r="K6" s="65">
        <f t="shared" si="0"/>
        <v>430815.65</v>
      </c>
      <c r="L6" s="7">
        <f t="shared" si="0"/>
        <v>358819.06</v>
      </c>
      <c r="M6" s="64">
        <f t="shared" si="0"/>
        <v>0</v>
      </c>
      <c r="N6" s="65">
        <f t="shared" si="0"/>
        <v>0</v>
      </c>
      <c r="O6" s="7">
        <f t="shared" si="0"/>
        <v>0</v>
      </c>
      <c r="P6" s="64">
        <f t="shared" si="0"/>
        <v>0</v>
      </c>
      <c r="Q6" s="65">
        <f t="shared" si="0"/>
        <v>0</v>
      </c>
      <c r="R6" s="66">
        <f>Q6</f>
        <v>0</v>
      </c>
      <c r="T6" s="67" t="s">
        <v>111</v>
      </c>
      <c r="U6" s="68">
        <f>R6</f>
        <v>0</v>
      </c>
    </row>
    <row r="7" spans="4:23" ht="15" customHeight="1">
      <c r="D7" s="69" t="s">
        <v>113</v>
      </c>
      <c r="E7" s="70">
        <f t="shared" ref="E7:Q7" si="1">E8+E9</f>
        <v>357656.17</v>
      </c>
      <c r="F7" s="70">
        <f t="shared" si="1"/>
        <v>224733.63</v>
      </c>
      <c r="G7" s="71">
        <f t="shared" si="1"/>
        <v>153902.69</v>
      </c>
      <c r="H7" s="72">
        <f t="shared" si="1"/>
        <v>228703.26</v>
      </c>
      <c r="I7" s="70">
        <f t="shared" si="1"/>
        <v>275711.18</v>
      </c>
      <c r="J7" s="71">
        <f t="shared" si="1"/>
        <v>307601.17000000004</v>
      </c>
      <c r="K7" s="72">
        <f t="shared" si="1"/>
        <v>238663.08000000002</v>
      </c>
      <c r="L7" s="70">
        <f t="shared" si="1"/>
        <v>252485.61</v>
      </c>
      <c r="M7" s="71">
        <f t="shared" si="1"/>
        <v>0</v>
      </c>
      <c r="N7" s="72">
        <f t="shared" si="1"/>
        <v>0</v>
      </c>
      <c r="O7" s="70">
        <f t="shared" si="1"/>
        <v>0</v>
      </c>
      <c r="P7" s="71">
        <f t="shared" si="1"/>
        <v>0</v>
      </c>
      <c r="Q7" s="72">
        <f t="shared" si="1"/>
        <v>0</v>
      </c>
      <c r="R7" s="73"/>
      <c r="T7" s="67" t="s">
        <v>114</v>
      </c>
      <c r="U7" s="68">
        <v>0</v>
      </c>
    </row>
    <row r="8" spans="4:23" ht="15" customHeight="1" outlineLevel="1">
      <c r="D8" s="74" t="s">
        <v>115</v>
      </c>
      <c r="E8" s="75">
        <v>119132.9</v>
      </c>
      <c r="F8" s="75">
        <v>173160.08</v>
      </c>
      <c r="G8" s="76">
        <f>117727.34</f>
        <v>117727.34</v>
      </c>
      <c r="H8" s="77">
        <v>225718.41</v>
      </c>
      <c r="I8" s="75">
        <f>226743.76+971</f>
        <v>227714.76</v>
      </c>
      <c r="J8" s="76">
        <f>15000+254766.64</f>
        <v>269766.64</v>
      </c>
      <c r="K8" s="77">
        <v>148542.94</v>
      </c>
      <c r="L8" s="75">
        <f>252449.43</f>
        <v>252449.43</v>
      </c>
      <c r="M8" s="76"/>
      <c r="N8" s="77"/>
      <c r="O8" s="75"/>
      <c r="P8" s="76"/>
      <c r="Q8" s="77"/>
      <c r="R8" s="78"/>
      <c r="T8" s="67" t="s">
        <v>116</v>
      </c>
      <c r="U8" s="79">
        <v>0</v>
      </c>
    </row>
    <row r="9" spans="4:23" ht="15" customHeight="1" outlineLevel="1">
      <c r="D9" s="74" t="s">
        <v>117</v>
      </c>
      <c r="E9" s="75">
        <v>238523.27</v>
      </c>
      <c r="F9" s="75">
        <v>51573.55</v>
      </c>
      <c r="G9" s="76">
        <v>36175.35</v>
      </c>
      <c r="H9" s="77">
        <v>2984.85</v>
      </c>
      <c r="I9" s="75">
        <v>47996.42</v>
      </c>
      <c r="J9" s="76">
        <v>37834.53</v>
      </c>
      <c r="K9" s="77">
        <v>90120.14</v>
      </c>
      <c r="L9" s="75">
        <v>36.18</v>
      </c>
      <c r="M9" s="76"/>
      <c r="N9" s="77"/>
      <c r="O9" s="75"/>
      <c r="P9" s="76"/>
      <c r="Q9" s="77"/>
      <c r="R9" s="78"/>
      <c r="T9" s="67" t="s">
        <v>101</v>
      </c>
      <c r="U9" s="79">
        <f>U13</f>
        <v>59688.532000000101</v>
      </c>
      <c r="W9" s="3"/>
    </row>
    <row r="10" spans="4:23" ht="15" customHeight="1">
      <c r="D10" s="80" t="s">
        <v>118</v>
      </c>
      <c r="E10" s="81">
        <f t="shared" ref="E10:Q10" si="2">E11+E12</f>
        <v>102101.99</v>
      </c>
      <c r="F10" s="81">
        <f t="shared" si="2"/>
        <v>65399.479999999996</v>
      </c>
      <c r="G10" s="82">
        <f t="shared" si="2"/>
        <v>137635.28</v>
      </c>
      <c r="H10" s="83">
        <f t="shared" si="2"/>
        <v>89865.77</v>
      </c>
      <c r="I10" s="81">
        <f t="shared" si="2"/>
        <v>49977.98</v>
      </c>
      <c r="J10" s="82">
        <f t="shared" si="2"/>
        <v>75090.399999999994</v>
      </c>
      <c r="K10" s="83">
        <f t="shared" si="2"/>
        <v>163543.77000000002</v>
      </c>
      <c r="L10" s="81">
        <f t="shared" si="2"/>
        <v>72044.260000000009</v>
      </c>
      <c r="M10" s="82">
        <f t="shared" si="2"/>
        <v>0</v>
      </c>
      <c r="N10" s="83">
        <f t="shared" si="2"/>
        <v>0</v>
      </c>
      <c r="O10" s="81">
        <f t="shared" si="2"/>
        <v>0</v>
      </c>
      <c r="P10" s="82">
        <f t="shared" si="2"/>
        <v>0</v>
      </c>
      <c r="Q10" s="83">
        <f t="shared" si="2"/>
        <v>0</v>
      </c>
      <c r="R10" s="84"/>
      <c r="T10" s="67" t="s">
        <v>119</v>
      </c>
      <c r="U10" s="68">
        <f>U6-U8-U9</f>
        <v>-59688.532000000101</v>
      </c>
    </row>
    <row r="11" spans="4:23" ht="15" customHeight="1" outlineLevel="1">
      <c r="D11" s="74" t="s">
        <v>120</v>
      </c>
      <c r="E11" s="75">
        <v>95400</v>
      </c>
      <c r="F11" s="75">
        <v>56600</v>
      </c>
      <c r="G11" s="76">
        <v>85600</v>
      </c>
      <c r="H11" s="77">
        <v>86880.92</v>
      </c>
      <c r="I11" s="75">
        <v>49432.66</v>
      </c>
      <c r="J11" s="76">
        <v>70999.62</v>
      </c>
      <c r="K11" s="77">
        <v>71750.61</v>
      </c>
      <c r="L11" s="75">
        <v>39676.26</v>
      </c>
      <c r="M11" s="76"/>
      <c r="N11" s="77"/>
      <c r="O11" s="75"/>
      <c r="P11" s="76"/>
      <c r="Q11" s="77"/>
      <c r="R11" s="78"/>
    </row>
    <row r="12" spans="4:23" ht="15" customHeight="1" outlineLevel="1">
      <c r="D12" s="74" t="s">
        <v>121</v>
      </c>
      <c r="E12" s="75">
        <v>6701.99</v>
      </c>
      <c r="F12" s="75">
        <v>8799.48</v>
      </c>
      <c r="G12" s="76">
        <v>52035.28</v>
      </c>
      <c r="H12" s="77">
        <v>2984.85</v>
      </c>
      <c r="I12" s="75">
        <v>545.32000000000005</v>
      </c>
      <c r="J12" s="76">
        <v>4090.78</v>
      </c>
      <c r="K12" s="77">
        <v>91793.16</v>
      </c>
      <c r="L12" s="75">
        <v>32368</v>
      </c>
      <c r="M12" s="76"/>
      <c r="N12" s="77"/>
      <c r="O12" s="75"/>
      <c r="P12" s="76"/>
      <c r="Q12" s="77"/>
      <c r="R12" s="78"/>
      <c r="T12" s="51" t="s">
        <v>122</v>
      </c>
      <c r="U12" s="79">
        <f>Consolidated!Q53</f>
        <v>149221.33000000025</v>
      </c>
    </row>
    <row r="13" spans="4:23" ht="15" customHeight="1">
      <c r="D13" s="80" t="s">
        <v>123</v>
      </c>
      <c r="E13" s="81">
        <f t="shared" ref="E13:Q13" si="3">E14+E15</f>
        <v>44151.35</v>
      </c>
      <c r="F13" s="81">
        <f t="shared" si="3"/>
        <v>38546.31</v>
      </c>
      <c r="G13" s="82">
        <f t="shared" si="3"/>
        <v>35113.94</v>
      </c>
      <c r="H13" s="83">
        <f t="shared" si="3"/>
        <v>40592.559999999998</v>
      </c>
      <c r="I13" s="81">
        <f t="shared" si="3"/>
        <v>33117.800000000003</v>
      </c>
      <c r="J13" s="82">
        <f t="shared" si="3"/>
        <v>40543.910000000003</v>
      </c>
      <c r="K13" s="83">
        <f>K14+K15</f>
        <v>28608.799999999999</v>
      </c>
      <c r="L13" s="81">
        <f t="shared" si="3"/>
        <v>34289.19</v>
      </c>
      <c r="M13" s="82">
        <f t="shared" si="3"/>
        <v>0</v>
      </c>
      <c r="N13" s="83">
        <f t="shared" si="3"/>
        <v>0</v>
      </c>
      <c r="O13" s="81">
        <f t="shared" si="3"/>
        <v>0</v>
      </c>
      <c r="P13" s="82">
        <f t="shared" si="3"/>
        <v>0</v>
      </c>
      <c r="Q13" s="83">
        <f t="shared" si="3"/>
        <v>0</v>
      </c>
      <c r="R13" s="84"/>
      <c r="T13" s="51">
        <v>0.4</v>
      </c>
      <c r="U13" s="79">
        <f>U12*T13</f>
        <v>59688.532000000101</v>
      </c>
    </row>
    <row r="14" spans="4:23" ht="15" customHeight="1" outlineLevel="1">
      <c r="D14" s="74" t="s">
        <v>124</v>
      </c>
      <c r="E14" s="75">
        <v>29000</v>
      </c>
      <c r="F14" s="75">
        <v>23500</v>
      </c>
      <c r="G14" s="76">
        <v>17500</v>
      </c>
      <c r="H14" s="77">
        <v>27378.48</v>
      </c>
      <c r="I14" s="75">
        <v>18567.39</v>
      </c>
      <c r="J14" s="76">
        <v>29948.48</v>
      </c>
      <c r="K14" s="77">
        <v>10714.04</v>
      </c>
      <c r="L14" s="75">
        <v>10844.25</v>
      </c>
      <c r="M14" s="76"/>
      <c r="N14" s="77"/>
      <c r="O14" s="75"/>
      <c r="P14" s="76"/>
      <c r="Q14" s="77"/>
      <c r="R14" s="78"/>
      <c r="T14" s="51" t="s">
        <v>101</v>
      </c>
      <c r="U14" s="52">
        <f>U9/Consolidated!Q53</f>
        <v>0.4</v>
      </c>
    </row>
    <row r="15" spans="4:23" ht="15" customHeight="1" outlineLevel="1">
      <c r="D15" s="74" t="s">
        <v>125</v>
      </c>
      <c r="E15" s="75">
        <v>15151.35</v>
      </c>
      <c r="F15" s="75">
        <v>15046.31</v>
      </c>
      <c r="G15" s="76">
        <v>17613.939999999999</v>
      </c>
      <c r="H15" s="77">
        <v>13214.08</v>
      </c>
      <c r="I15" s="75">
        <v>14550.41</v>
      </c>
      <c r="J15" s="76">
        <v>10595.43</v>
      </c>
      <c r="K15" s="77">
        <v>17894.759999999998</v>
      </c>
      <c r="L15" s="75">
        <v>23444.94</v>
      </c>
      <c r="M15" s="76"/>
      <c r="N15" s="77"/>
      <c r="O15" s="75"/>
      <c r="P15" s="76"/>
      <c r="Q15" s="77"/>
      <c r="R15" s="78"/>
    </row>
    <row r="16" spans="4:23" ht="15" customHeight="1">
      <c r="D16" s="85" t="s">
        <v>126</v>
      </c>
      <c r="E16" s="81">
        <f t="shared" ref="E16:Q16" si="4">E17+E18</f>
        <v>0</v>
      </c>
      <c r="F16" s="81">
        <f t="shared" si="4"/>
        <v>0</v>
      </c>
      <c r="G16" s="82">
        <f t="shared" si="4"/>
        <v>0</v>
      </c>
      <c r="H16" s="83">
        <f t="shared" si="4"/>
        <v>0</v>
      </c>
      <c r="I16" s="81">
        <f t="shared" si="4"/>
        <v>0</v>
      </c>
      <c r="J16" s="82">
        <f t="shared" si="4"/>
        <v>0</v>
      </c>
      <c r="K16" s="83">
        <f t="shared" si="4"/>
        <v>0</v>
      </c>
      <c r="L16" s="81">
        <f t="shared" si="4"/>
        <v>0</v>
      </c>
      <c r="M16" s="82">
        <f t="shared" si="4"/>
        <v>0</v>
      </c>
      <c r="N16" s="83">
        <f t="shared" si="4"/>
        <v>0</v>
      </c>
      <c r="O16" s="81">
        <f t="shared" si="4"/>
        <v>0</v>
      </c>
      <c r="P16" s="82">
        <f t="shared" si="4"/>
        <v>0</v>
      </c>
      <c r="Q16" s="83">
        <f t="shared" si="4"/>
        <v>0</v>
      </c>
      <c r="R16" s="84"/>
    </row>
    <row r="17" spans="4:23" ht="15" customHeight="1" outlineLevel="1">
      <c r="D17" s="74" t="s">
        <v>127</v>
      </c>
      <c r="E17" s="75"/>
      <c r="F17" s="75"/>
      <c r="G17" s="76"/>
      <c r="H17" s="77"/>
      <c r="I17" s="75"/>
      <c r="J17" s="76"/>
      <c r="K17" s="77"/>
      <c r="L17" s="75"/>
      <c r="M17" s="76"/>
      <c r="N17" s="77"/>
      <c r="O17" s="75"/>
      <c r="P17" s="76"/>
      <c r="Q17" s="86"/>
      <c r="R17" s="78"/>
    </row>
    <row r="18" spans="4:23" ht="15" customHeight="1" outlineLevel="1">
      <c r="D18" s="87" t="s">
        <v>128</v>
      </c>
      <c r="E18" s="75"/>
      <c r="F18" s="75"/>
      <c r="G18" s="76"/>
      <c r="H18" s="76"/>
      <c r="I18" s="75"/>
      <c r="J18" s="76"/>
      <c r="K18" s="76"/>
      <c r="L18" s="75"/>
      <c r="M18" s="76"/>
      <c r="N18" s="76"/>
      <c r="O18" s="75"/>
      <c r="P18" s="76"/>
      <c r="Q18" s="88"/>
      <c r="R18" s="78"/>
    </row>
    <row r="19" spans="4:23" ht="15" customHeight="1">
      <c r="D19" s="89" t="s">
        <v>129</v>
      </c>
      <c r="E19" s="17"/>
      <c r="F19" s="17">
        <f>F6-E6</f>
        <v>-175230.08999999997</v>
      </c>
      <c r="G19" s="17">
        <f>G6-F6</f>
        <v>-2027.5100000000093</v>
      </c>
      <c r="H19" s="17">
        <f>H6-G6</f>
        <v>32509.680000000051</v>
      </c>
      <c r="I19" s="17">
        <f t="shared" ref="I19:Q19" si="5">IF(I6&gt;0,I6-H6,0)</f>
        <v>-354.63000000006286</v>
      </c>
      <c r="J19" s="17">
        <f t="shared" si="5"/>
        <v>64428.520000000135</v>
      </c>
      <c r="K19" s="17">
        <f t="shared" si="5"/>
        <v>7580.1699999999255</v>
      </c>
      <c r="L19" s="17">
        <f t="shared" si="5"/>
        <v>-71996.590000000026</v>
      </c>
      <c r="M19" s="17">
        <f t="shared" si="5"/>
        <v>0</v>
      </c>
      <c r="N19" s="17">
        <f t="shared" si="5"/>
        <v>0</v>
      </c>
      <c r="O19" s="17">
        <f t="shared" si="5"/>
        <v>0</v>
      </c>
      <c r="P19" s="17">
        <f t="shared" si="5"/>
        <v>0</v>
      </c>
      <c r="Q19" s="17">
        <f t="shared" si="5"/>
        <v>0</v>
      </c>
      <c r="R19" s="17"/>
    </row>
    <row r="22" spans="4:23" ht="15" customHeight="1">
      <c r="W22" s="3"/>
    </row>
    <row r="23" spans="4:23" ht="15" customHeight="1">
      <c r="W23" s="3"/>
    </row>
    <row r="24" spans="4:23" ht="15" customHeight="1">
      <c r="W24" s="3"/>
    </row>
    <row r="30" spans="4:23" ht="15" customHeight="1">
      <c r="S30" s="90"/>
    </row>
    <row r="31" spans="4:23" ht="15" customHeight="1">
      <c r="S31" s="90"/>
    </row>
    <row r="42" spans="1:23" ht="15" customHeight="1">
      <c r="A42" t="s">
        <v>130</v>
      </c>
      <c r="D42" s="91" t="s">
        <v>131</v>
      </c>
      <c r="E42" s="91"/>
      <c r="F42" s="379" t="s">
        <v>132</v>
      </c>
      <c r="G42" s="379"/>
      <c r="H42" s="92">
        <f>SUM(H43:H57)</f>
        <v>30000</v>
      </c>
    </row>
    <row r="43" spans="1:23" ht="15" customHeight="1">
      <c r="A43" t="s">
        <v>133</v>
      </c>
      <c r="D43" s="91" t="s">
        <v>133</v>
      </c>
      <c r="E43" s="91"/>
      <c r="F43" s="93" t="s">
        <v>134</v>
      </c>
      <c r="G43" s="79">
        <v>15000</v>
      </c>
      <c r="H43" s="79">
        <f t="shared" ref="H43:H57" si="6">IF(D43=$A$42,G43,0)</f>
        <v>0</v>
      </c>
    </row>
    <row r="44" spans="1:23" ht="15" customHeight="1">
      <c r="D44" s="91" t="s">
        <v>130</v>
      </c>
      <c r="E44" s="91"/>
      <c r="F44" s="93" t="s">
        <v>135</v>
      </c>
      <c r="G44" s="79">
        <v>15000</v>
      </c>
      <c r="H44" s="79">
        <f t="shared" si="6"/>
        <v>15000</v>
      </c>
    </row>
    <row r="45" spans="1:23" ht="15" customHeight="1">
      <c r="D45" s="91" t="s">
        <v>133</v>
      </c>
      <c r="E45" s="91"/>
      <c r="F45" s="93" t="s">
        <v>136</v>
      </c>
      <c r="G45" s="79">
        <v>15000</v>
      </c>
      <c r="H45" s="79">
        <f t="shared" si="6"/>
        <v>0</v>
      </c>
      <c r="V45" s="90"/>
      <c r="W45" s="90"/>
    </row>
    <row r="46" spans="1:23" ht="15" customHeight="1">
      <c r="D46" s="91" t="s">
        <v>130</v>
      </c>
      <c r="E46" s="91"/>
      <c r="F46" s="93" t="s">
        <v>137</v>
      </c>
      <c r="G46" s="79">
        <v>15000</v>
      </c>
      <c r="H46" s="79">
        <f t="shared" si="6"/>
        <v>15000</v>
      </c>
      <c r="V46" s="90"/>
      <c r="W46" s="90"/>
    </row>
    <row r="47" spans="1:23" ht="15" customHeight="1">
      <c r="D47" s="91" t="s">
        <v>133</v>
      </c>
      <c r="E47" s="91"/>
      <c r="F47" s="93" t="s">
        <v>138</v>
      </c>
      <c r="G47" s="79">
        <v>15000</v>
      </c>
      <c r="H47" s="79">
        <f t="shared" si="6"/>
        <v>0</v>
      </c>
      <c r="V47" s="90"/>
      <c r="W47" s="90"/>
    </row>
    <row r="48" spans="1:23" ht="15" customHeight="1">
      <c r="D48" s="91" t="s">
        <v>133</v>
      </c>
      <c r="E48" s="91"/>
      <c r="F48" s="93" t="s">
        <v>139</v>
      </c>
      <c r="G48" s="79">
        <v>15000</v>
      </c>
      <c r="H48" s="79">
        <f t="shared" si="6"/>
        <v>0</v>
      </c>
      <c r="V48" s="90"/>
      <c r="W48" s="90"/>
    </row>
    <row r="49" spans="4:23" ht="15" customHeight="1">
      <c r="D49" s="91" t="s">
        <v>133</v>
      </c>
      <c r="E49" s="91"/>
      <c r="F49" s="93" t="s">
        <v>140</v>
      </c>
      <c r="G49" s="79">
        <v>15000</v>
      </c>
      <c r="H49" s="79">
        <f t="shared" si="6"/>
        <v>0</v>
      </c>
      <c r="V49" s="90"/>
      <c r="W49" s="90"/>
    </row>
    <row r="50" spans="4:23" ht="15" customHeight="1">
      <c r="D50" s="91" t="s">
        <v>133</v>
      </c>
      <c r="E50" s="91"/>
      <c r="F50" s="93" t="s">
        <v>141</v>
      </c>
      <c r="G50" s="79"/>
      <c r="H50" s="79">
        <f t="shared" si="6"/>
        <v>0</v>
      </c>
      <c r="V50" s="90"/>
    </row>
    <row r="51" spans="4:23" ht="15" customHeight="1">
      <c r="D51" s="91" t="s">
        <v>133</v>
      </c>
      <c r="E51" s="91"/>
      <c r="F51" s="93" t="s">
        <v>142</v>
      </c>
      <c r="G51" s="79"/>
      <c r="H51" s="79">
        <f t="shared" si="6"/>
        <v>0</v>
      </c>
      <c r="V51" s="90"/>
      <c r="W51" s="90"/>
    </row>
    <row r="52" spans="4:23" ht="15" customHeight="1">
      <c r="D52" s="91" t="s">
        <v>133</v>
      </c>
      <c r="E52" s="91"/>
      <c r="F52" s="93" t="s">
        <v>143</v>
      </c>
      <c r="G52" s="79"/>
      <c r="H52" s="79">
        <f t="shared" si="6"/>
        <v>0</v>
      </c>
      <c r="V52" s="90"/>
      <c r="W52" s="90"/>
    </row>
    <row r="53" spans="4:23" ht="15" customHeight="1">
      <c r="D53" s="91" t="s">
        <v>133</v>
      </c>
      <c r="E53" s="91"/>
      <c r="F53" s="93" t="s">
        <v>144</v>
      </c>
      <c r="G53" s="79"/>
      <c r="H53" s="79">
        <f t="shared" si="6"/>
        <v>0</v>
      </c>
      <c r="V53" s="90"/>
      <c r="W53" s="90"/>
    </row>
    <row r="54" spans="4:23" ht="15" customHeight="1">
      <c r="D54" s="91" t="s">
        <v>133</v>
      </c>
      <c r="E54" s="91"/>
      <c r="F54" s="93" t="s">
        <v>145</v>
      </c>
      <c r="G54" s="79"/>
      <c r="H54" s="79">
        <f t="shared" si="6"/>
        <v>0</v>
      </c>
      <c r="V54" s="90"/>
      <c r="W54" s="90"/>
    </row>
    <row r="55" spans="4:23" ht="15" customHeight="1">
      <c r="D55" s="91" t="s">
        <v>133</v>
      </c>
      <c r="E55" s="91"/>
      <c r="F55" s="93" t="s">
        <v>146</v>
      </c>
      <c r="G55" s="79"/>
      <c r="H55" s="79">
        <f t="shared" si="6"/>
        <v>0</v>
      </c>
      <c r="V55" s="90"/>
      <c r="W55" s="90"/>
    </row>
    <row r="56" spans="4:23" ht="15" customHeight="1">
      <c r="D56" s="91" t="s">
        <v>133</v>
      </c>
      <c r="E56" s="91"/>
      <c r="F56" s="93" t="s">
        <v>147</v>
      </c>
      <c r="G56" s="79"/>
      <c r="H56" s="79">
        <f t="shared" si="6"/>
        <v>0</v>
      </c>
      <c r="V56" s="90"/>
      <c r="W56" s="90"/>
    </row>
    <row r="57" spans="4:23" ht="15" customHeight="1">
      <c r="D57" s="91" t="s">
        <v>133</v>
      </c>
      <c r="E57" s="91"/>
      <c r="F57" s="93" t="s">
        <v>148</v>
      </c>
      <c r="G57" s="79"/>
      <c r="H57" s="79">
        <f t="shared" si="6"/>
        <v>0</v>
      </c>
      <c r="V57" s="90"/>
      <c r="W57" s="90"/>
    </row>
    <row r="58" spans="4:23" ht="15" customHeight="1">
      <c r="V58" s="90"/>
      <c r="W58" s="90"/>
    </row>
    <row r="59" spans="4:23" ht="15" customHeight="1">
      <c r="Q59" s="90"/>
    </row>
    <row r="60" spans="4:23" ht="15" customHeight="1">
      <c r="Q60" s="90"/>
    </row>
    <row r="61" spans="4:23" ht="15" customHeight="1" outlineLevel="1">
      <c r="D61" s="379" t="s">
        <v>149</v>
      </c>
      <c r="E61" s="379"/>
      <c r="F61" s="379"/>
      <c r="G61" s="94">
        <f>I6</f>
        <v>358806.95999999996</v>
      </c>
      <c r="H61" s="91" t="s">
        <v>150</v>
      </c>
      <c r="Q61" s="90"/>
    </row>
    <row r="62" spans="4:23" ht="15" customHeight="1" outlineLevel="1">
      <c r="D62" s="93" t="s">
        <v>134</v>
      </c>
      <c r="E62" s="95">
        <v>0.28470000000000001</v>
      </c>
      <c r="F62" s="67"/>
      <c r="G62" s="79">
        <f t="shared" ref="G62:G69" si="7">$G$61*E62</f>
        <v>102152.341512</v>
      </c>
      <c r="H62" s="79">
        <f>G62+H43</f>
        <v>102152.341512</v>
      </c>
      <c r="Q62" s="90"/>
    </row>
    <row r="63" spans="4:23" ht="15" customHeight="1" outlineLevel="1">
      <c r="D63" s="93" t="s">
        <v>135</v>
      </c>
      <c r="E63" s="95">
        <v>0.28470000000000001</v>
      </c>
      <c r="F63" s="67"/>
      <c r="G63" s="79">
        <f t="shared" si="7"/>
        <v>102152.341512</v>
      </c>
      <c r="H63" s="79">
        <f>G63+H44</f>
        <v>117152.341512</v>
      </c>
      <c r="Q63" s="90"/>
    </row>
    <row r="64" spans="4:23" ht="15" customHeight="1" outlineLevel="1">
      <c r="D64" s="93" t="s">
        <v>136</v>
      </c>
      <c r="E64" s="95">
        <v>0.28470000000000001</v>
      </c>
      <c r="F64" s="67"/>
      <c r="G64" s="79">
        <f t="shared" si="7"/>
        <v>102152.341512</v>
      </c>
      <c r="H64" s="79">
        <f>G64+H45</f>
        <v>102152.341512</v>
      </c>
      <c r="Q64" s="90"/>
    </row>
    <row r="65" spans="3:17" ht="15" customHeight="1" outlineLevel="1">
      <c r="D65" s="93" t="s">
        <v>151</v>
      </c>
      <c r="E65" s="95">
        <v>6.5699999999999995E-2</v>
      </c>
      <c r="F65" s="67"/>
      <c r="G65" s="79">
        <f t="shared" si="7"/>
        <v>23573.617271999996</v>
      </c>
      <c r="H65" s="79">
        <f>G65+H46</f>
        <v>38573.617271999996</v>
      </c>
      <c r="Q65" s="90"/>
    </row>
    <row r="66" spans="3:17" ht="15" customHeight="1" outlineLevel="1">
      <c r="D66" s="93" t="s">
        <v>138</v>
      </c>
      <c r="E66" s="95">
        <v>0.05</v>
      </c>
      <c r="F66" s="67"/>
      <c r="G66" s="79">
        <f t="shared" si="7"/>
        <v>17940.347999999998</v>
      </c>
      <c r="H66" s="79">
        <f>G66+H47</f>
        <v>17940.347999999998</v>
      </c>
      <c r="Q66" s="90"/>
    </row>
    <row r="67" spans="3:17" ht="15" customHeight="1" outlineLevel="1">
      <c r="D67" s="93" t="s">
        <v>152</v>
      </c>
      <c r="E67" s="95">
        <v>0.03</v>
      </c>
      <c r="F67" s="67"/>
      <c r="G67" s="79">
        <f t="shared" si="7"/>
        <v>10764.208799999999</v>
      </c>
      <c r="H67" s="79">
        <f>G67+H52</f>
        <v>10764.208799999999</v>
      </c>
      <c r="Q67" s="90"/>
    </row>
    <row r="68" spans="3:17" ht="15" customHeight="1" outlineLevel="1">
      <c r="D68" s="93" t="s">
        <v>153</v>
      </c>
      <c r="E68" s="95">
        <v>1E-4</v>
      </c>
      <c r="F68" s="95"/>
      <c r="G68" s="79">
        <f t="shared" si="7"/>
        <v>35.880696</v>
      </c>
      <c r="H68" s="79">
        <f>G68+H48</f>
        <v>35.880696</v>
      </c>
      <c r="Q68" s="90"/>
    </row>
    <row r="69" spans="3:17" ht="15" customHeight="1" outlineLevel="1">
      <c r="D69" s="93" t="s">
        <v>142</v>
      </c>
      <c r="E69" s="95">
        <v>1E-4</v>
      </c>
      <c r="F69" s="95"/>
      <c r="G69" s="79">
        <f t="shared" si="7"/>
        <v>35.880696</v>
      </c>
      <c r="H69" s="79">
        <f>G69+H50</f>
        <v>35.880696</v>
      </c>
      <c r="Q69" s="90"/>
    </row>
    <row r="70" spans="3:17" ht="15" customHeight="1" outlineLevel="1"/>
    <row r="71" spans="3:17" ht="15" customHeight="1" outlineLevel="1"/>
    <row r="72" spans="3:17" ht="15" customHeight="1" outlineLevel="1"/>
    <row r="73" spans="3:17" ht="15" customHeight="1" outlineLevel="1"/>
    <row r="74" spans="3:17" ht="15" customHeight="1" outlineLevel="1"/>
    <row r="75" spans="3:17" ht="15" customHeight="1" outlineLevel="1"/>
    <row r="76" spans="3:17" ht="15" customHeight="1" outlineLevel="1"/>
    <row r="77" spans="3:17" ht="15.75" customHeight="1" outlineLevel="1">
      <c r="C77" s="96" t="s">
        <v>154</v>
      </c>
      <c r="D77" s="97">
        <v>44622</v>
      </c>
      <c r="E77" s="97"/>
      <c r="F77" s="97" t="s">
        <v>155</v>
      </c>
    </row>
    <row r="78" spans="3:17" ht="15.75" customHeight="1" outlineLevel="1">
      <c r="C78" s="98" t="s">
        <v>156</v>
      </c>
      <c r="D78" s="99">
        <v>1491</v>
      </c>
      <c r="E78" s="99"/>
      <c r="F78" s="100">
        <f>D78/$D$77</f>
        <v>3.3414011025951325E-2</v>
      </c>
    </row>
    <row r="79" spans="3:17" ht="15.75" customHeight="1" outlineLevel="1">
      <c r="C79" s="98" t="s">
        <v>157</v>
      </c>
      <c r="D79" s="99">
        <v>1491</v>
      </c>
      <c r="E79" s="99"/>
      <c r="F79" s="100">
        <f>D79/$D$77</f>
        <v>3.3414011025951325E-2</v>
      </c>
    </row>
    <row r="80" spans="3:17" ht="15.75" customHeight="1" outlineLevel="1">
      <c r="C80" s="98" t="s">
        <v>158</v>
      </c>
      <c r="D80" s="99">
        <v>1491</v>
      </c>
      <c r="E80" s="99"/>
      <c r="F80" s="100">
        <f>D80/$D$77</f>
        <v>3.3414011025951325E-2</v>
      </c>
    </row>
    <row r="81" spans="2:6" ht="15.75" customHeight="1" outlineLevel="1">
      <c r="B81">
        <v>10000</v>
      </c>
      <c r="C81" s="101" t="s">
        <v>159</v>
      </c>
      <c r="D81" s="102">
        <v>40149</v>
      </c>
      <c r="E81" s="102"/>
      <c r="F81" s="103">
        <f>D81/$D$77</f>
        <v>0.89975796692214605</v>
      </c>
    </row>
    <row r="82" spans="2:6" ht="15.75" customHeight="1" outlineLevel="1">
      <c r="C82" s="104" t="s">
        <v>136</v>
      </c>
      <c r="D82" s="105">
        <v>2570</v>
      </c>
      <c r="E82" s="105"/>
      <c r="F82" s="106">
        <f t="shared" ref="F82:F92" si="8">D82/$B$81</f>
        <v>0.25700000000000001</v>
      </c>
    </row>
    <row r="83" spans="2:6" ht="15.75" customHeight="1" outlineLevel="1">
      <c r="C83" s="104" t="s">
        <v>135</v>
      </c>
      <c r="D83" s="105">
        <v>2570</v>
      </c>
      <c r="E83" s="105"/>
      <c r="F83" s="106">
        <f t="shared" si="8"/>
        <v>0.25700000000000001</v>
      </c>
    </row>
    <row r="84" spans="2:6" ht="15.75" customHeight="1" outlineLevel="1">
      <c r="C84" s="104" t="s">
        <v>134</v>
      </c>
      <c r="D84" s="105">
        <v>2570</v>
      </c>
      <c r="E84" s="105"/>
      <c r="F84" s="106">
        <f t="shared" si="8"/>
        <v>0.25700000000000001</v>
      </c>
    </row>
    <row r="85" spans="2:6" ht="15.75" customHeight="1" outlineLevel="1">
      <c r="C85" s="104" t="s">
        <v>138</v>
      </c>
      <c r="D85" s="105">
        <v>668</v>
      </c>
      <c r="E85" s="105"/>
      <c r="F85" s="106">
        <f t="shared" si="8"/>
        <v>6.6799999999999998E-2</v>
      </c>
    </row>
    <row r="86" spans="2:6" ht="15.75" customHeight="1" outlineLevel="1">
      <c r="C86" s="104" t="s">
        <v>143</v>
      </c>
      <c r="D86" s="105">
        <v>150</v>
      </c>
      <c r="E86" s="105"/>
      <c r="F86" s="106">
        <f t="shared" si="8"/>
        <v>1.4999999999999999E-2</v>
      </c>
    </row>
    <row r="87" spans="2:6" ht="15.75" customHeight="1" outlineLevel="1">
      <c r="C87" s="104" t="s">
        <v>160</v>
      </c>
      <c r="D87" s="105">
        <v>150</v>
      </c>
      <c r="E87" s="105"/>
      <c r="F87" s="106">
        <f t="shared" si="8"/>
        <v>1.4999999999999999E-2</v>
      </c>
    </row>
    <row r="88" spans="2:6" ht="15.75" customHeight="1" outlineLevel="1">
      <c r="C88" s="104" t="s">
        <v>161</v>
      </c>
      <c r="D88" s="105">
        <v>320</v>
      </c>
      <c r="E88" s="105"/>
      <c r="F88" s="106">
        <f t="shared" si="8"/>
        <v>3.2000000000000001E-2</v>
      </c>
    </row>
    <row r="89" spans="2:6" ht="15.75" customHeight="1" outlineLevel="1">
      <c r="C89" s="104" t="s">
        <v>141</v>
      </c>
      <c r="D89" s="105">
        <v>1</v>
      </c>
      <c r="E89" s="105"/>
      <c r="F89" s="106">
        <f t="shared" si="8"/>
        <v>1E-4</v>
      </c>
    </row>
    <row r="90" spans="2:6" ht="15.75" customHeight="1" outlineLevel="1">
      <c r="C90" s="104" t="s">
        <v>162</v>
      </c>
      <c r="D90" s="105">
        <v>1</v>
      </c>
      <c r="E90" s="105"/>
      <c r="F90" s="106">
        <f t="shared" si="8"/>
        <v>1E-4</v>
      </c>
    </row>
    <row r="91" spans="2:6" ht="15.75" customHeight="1" outlineLevel="1">
      <c r="C91" s="104" t="s">
        <v>163</v>
      </c>
      <c r="D91" s="105">
        <v>1</v>
      </c>
      <c r="E91" s="105"/>
      <c r="F91" s="106">
        <f t="shared" si="8"/>
        <v>1E-4</v>
      </c>
    </row>
    <row r="92" spans="2:6" ht="15.75" customHeight="1" outlineLevel="1">
      <c r="C92" s="104" t="s">
        <v>164</v>
      </c>
      <c r="D92" s="105">
        <v>999</v>
      </c>
      <c r="E92" s="105"/>
      <c r="F92" s="106">
        <f t="shared" si="8"/>
        <v>9.9900000000000003E-2</v>
      </c>
    </row>
  </sheetData>
  <mergeCells count="2">
    <mergeCell ref="F42:G42"/>
    <mergeCell ref="D61:F61"/>
  </mergeCells>
  <dataValidations count="1">
    <dataValidation type="list" allowBlank="1" showInputMessage="1" showErrorMessage="1" sqref="D43:E57" xr:uid="{00000000-0002-0000-0600-000000000000}">
      <formula1>$A$42:$A$43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53"/>
  <sheetViews>
    <sheetView topLeftCell="B23" zoomScaleNormal="100" workbookViewId="0">
      <selection activeCell="R53" sqref="R53"/>
    </sheetView>
  </sheetViews>
  <sheetFormatPr baseColWidth="10" defaultColWidth="8.6640625" defaultRowHeight="15" outlineLevelRow="1" outlineLevelCol="1"/>
  <cols>
    <col min="1" max="1" width="1.5" customWidth="1"/>
    <col min="2" max="2" width="38" customWidth="1"/>
    <col min="3" max="3" width="16" customWidth="1"/>
    <col min="4" max="6" width="13" bestFit="1" customWidth="1"/>
    <col min="7" max="7" width="15.33203125" bestFit="1" customWidth="1"/>
    <col min="8" max="8" width="13" customWidth="1"/>
    <col min="9" max="9" width="14.83203125" bestFit="1" customWidth="1"/>
    <col min="10" max="10" width="16" bestFit="1" customWidth="1"/>
    <col min="11" max="12" width="12.83203125" bestFit="1" customWidth="1"/>
    <col min="13" max="14" width="16.5" bestFit="1" customWidth="1"/>
    <col min="15" max="15" width="14" customWidth="1"/>
    <col min="16" max="16" width="0" hidden="1" customWidth="1"/>
    <col min="17" max="17" width="13.6640625" style="4" bestFit="1" customWidth="1"/>
    <col min="18" max="18" width="14" bestFit="1" customWidth="1"/>
    <col min="19" max="19" width="14.83203125" hidden="1" customWidth="1" outlineLevel="1"/>
    <col min="20" max="20" width="15" hidden="1" customWidth="1" outlineLevel="1"/>
    <col min="21" max="21" width="11.5" hidden="1" customWidth="1" outlineLevel="1"/>
    <col min="22" max="22" width="8.6640625" hidden="1" customWidth="1" outlineLevel="1"/>
    <col min="23" max="23" width="20" bestFit="1" customWidth="1" collapsed="1"/>
    <col min="24" max="24" width="14" bestFit="1" customWidth="1"/>
  </cols>
  <sheetData>
    <row r="1" spans="2:22" ht="27.75" customHeight="1">
      <c r="B1" s="384" t="s">
        <v>35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Q1" s="176"/>
    </row>
    <row r="2" spans="2:22">
      <c r="B2" s="385" t="s">
        <v>556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Q2" s="176"/>
    </row>
    <row r="3" spans="2:22">
      <c r="Q3" s="176"/>
    </row>
    <row r="4" spans="2:22" ht="18" customHeight="1">
      <c r="B4" s="383" t="s">
        <v>36</v>
      </c>
      <c r="C4" s="383"/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Q4" s="176"/>
    </row>
    <row r="5" spans="2:22" ht="15.75" customHeight="1">
      <c r="B5" s="20" t="s">
        <v>37</v>
      </c>
      <c r="C5" s="21">
        <f>J6</f>
        <v>280000000</v>
      </c>
      <c r="D5" s="387" t="s">
        <v>38</v>
      </c>
      <c r="E5" s="387"/>
      <c r="F5" s="387"/>
      <c r="G5" s="387"/>
      <c r="I5" s="158" t="s">
        <v>215</v>
      </c>
      <c r="J5" s="159">
        <v>300000000</v>
      </c>
      <c r="K5" s="174" t="s">
        <v>387</v>
      </c>
      <c r="L5" s="175">
        <v>1.0918697846808561E-2</v>
      </c>
      <c r="N5" s="173" t="s">
        <v>225</v>
      </c>
      <c r="O5" s="168">
        <v>0.84359676652256543</v>
      </c>
      <c r="Q5" s="176"/>
      <c r="S5" s="171"/>
      <c r="T5" s="171" t="s">
        <v>225</v>
      </c>
      <c r="U5" s="171" t="s">
        <v>242</v>
      </c>
      <c r="V5" s="171"/>
    </row>
    <row r="6" spans="2:22" ht="15.75" customHeight="1">
      <c r="B6" s="22" t="s">
        <v>39</v>
      </c>
      <c r="C6" s="146">
        <f>(1+L5)^(1/12)-1</f>
        <v>9.0536953684483557E-4</v>
      </c>
      <c r="D6" s="388" t="s">
        <v>40</v>
      </c>
      <c r="E6" s="388"/>
      <c r="F6" s="388"/>
      <c r="G6" s="388"/>
      <c r="I6" s="160" t="s">
        <v>132</v>
      </c>
      <c r="J6" s="161">
        <v>280000000</v>
      </c>
      <c r="K6" s="174" t="s">
        <v>545</v>
      </c>
      <c r="L6" s="175">
        <v>0</v>
      </c>
      <c r="N6" s="173" t="s">
        <v>242</v>
      </c>
      <c r="O6" s="168">
        <v>0.15640323347743448</v>
      </c>
      <c r="Q6" s="176"/>
      <c r="S6" s="172" t="s">
        <v>374</v>
      </c>
      <c r="T6" s="169">
        <v>0.32</v>
      </c>
      <c r="U6" s="170">
        <v>0.32</v>
      </c>
    </row>
    <row r="7" spans="2:22" ht="15.75" customHeight="1">
      <c r="B7" s="20" t="s">
        <v>41</v>
      </c>
      <c r="C7" s="23">
        <v>5.5E-2</v>
      </c>
      <c r="D7" s="387" t="s">
        <v>42</v>
      </c>
      <c r="E7" s="387"/>
      <c r="F7" s="387"/>
      <c r="G7" s="387"/>
      <c r="I7" s="160" t="s">
        <v>216</v>
      </c>
      <c r="J7" s="161">
        <f>J6-J5</f>
        <v>-20000000</v>
      </c>
      <c r="Q7" s="176"/>
      <c r="S7" s="172" t="s">
        <v>373</v>
      </c>
      <c r="T7" s="169">
        <v>0.15</v>
      </c>
      <c r="U7" s="170">
        <v>0.15</v>
      </c>
    </row>
    <row r="8" spans="2:22" ht="15.75" customHeight="1">
      <c r="B8" s="22" t="s">
        <v>43</v>
      </c>
      <c r="C8" s="147">
        <f>(1+C7)^(1/12)-1</f>
        <v>4.471698917043021E-3</v>
      </c>
      <c r="D8" s="388" t="s">
        <v>44</v>
      </c>
      <c r="E8" s="388"/>
      <c r="F8" s="388"/>
      <c r="G8" s="388"/>
      <c r="I8" s="162" t="s">
        <v>217</v>
      </c>
      <c r="J8" s="163">
        <f>J7/12</f>
        <v>-1666666.6666666667</v>
      </c>
      <c r="Q8" s="176"/>
      <c r="S8" s="172" t="s">
        <v>376</v>
      </c>
      <c r="T8" s="169">
        <v>-0.1</v>
      </c>
      <c r="U8" s="170">
        <v>0.1</v>
      </c>
    </row>
    <row r="9" spans="2:22" ht="15.75" customHeight="1">
      <c r="B9" s="22" t="s">
        <v>372</v>
      </c>
      <c r="C9" s="147">
        <v>-0.06</v>
      </c>
      <c r="D9" s="144"/>
      <c r="E9" s="144"/>
      <c r="F9" s="144"/>
      <c r="G9" s="144"/>
      <c r="Q9" s="176"/>
      <c r="S9" s="172" t="s">
        <v>377</v>
      </c>
      <c r="T9" s="169">
        <v>0.09</v>
      </c>
      <c r="U9" s="170">
        <v>6.8000000000000005E-2</v>
      </c>
      <c r="V9" s="113">
        <f>(T9*$O$5)+(U9*$O$6)</f>
        <v>8.6559128863496426E-2</v>
      </c>
    </row>
    <row r="10" spans="2:22" ht="15.75" customHeight="1">
      <c r="B10" s="22" t="s">
        <v>45</v>
      </c>
      <c r="C10" s="147">
        <v>-0.14000000000000001</v>
      </c>
      <c r="D10" s="388"/>
      <c r="E10" s="388"/>
      <c r="F10" s="388"/>
      <c r="G10" s="388"/>
      <c r="I10" s="386" t="s">
        <v>381</v>
      </c>
      <c r="J10" s="386"/>
      <c r="Q10" s="176"/>
      <c r="S10" s="172" t="s">
        <v>375</v>
      </c>
      <c r="T10" s="169">
        <v>3.6499999999999998E-2</v>
      </c>
      <c r="U10" s="170">
        <v>3.6499999999999998E-2</v>
      </c>
      <c r="V10" s="113">
        <f>(T10*$O$5)+(U10*$O$6)</f>
        <v>3.6499999999999991E-2</v>
      </c>
    </row>
    <row r="11" spans="2:22" ht="15.75" customHeight="1">
      <c r="B11" s="22" t="s">
        <v>46</v>
      </c>
      <c r="C11" s="147">
        <v>-0.43</v>
      </c>
      <c r="D11" s="388"/>
      <c r="E11" s="388"/>
      <c r="F11" s="388"/>
      <c r="G11" s="388"/>
      <c r="I11" s="20" t="s">
        <v>382</v>
      </c>
      <c r="J11" s="167">
        <v>-6.4999999999999997E-3</v>
      </c>
      <c r="K11" s="167"/>
      <c r="L11" s="168"/>
      <c r="Q11" s="176"/>
      <c r="S11" s="172" t="s">
        <v>313</v>
      </c>
      <c r="T11" s="113">
        <v>0.05</v>
      </c>
      <c r="U11" s="170">
        <v>0.05</v>
      </c>
      <c r="V11" s="113">
        <f>(T11*$O$5)+(U11*$O$6)</f>
        <v>0.05</v>
      </c>
    </row>
    <row r="12" spans="2:22" ht="15.75" customHeight="1">
      <c r="B12" s="22" t="s">
        <v>47</v>
      </c>
      <c r="C12" s="145">
        <f>AVERAGE(Consolidated!E24:H24)</f>
        <v>-1257.6075000000001</v>
      </c>
      <c r="D12" s="388" t="s">
        <v>48</v>
      </c>
      <c r="E12" s="388"/>
      <c r="F12" s="388"/>
      <c r="G12" s="388"/>
      <c r="I12" s="20" t="s">
        <v>383</v>
      </c>
      <c r="J12" s="167">
        <v>-0.03</v>
      </c>
      <c r="K12" s="167"/>
      <c r="L12" s="168"/>
      <c r="Q12" s="176"/>
      <c r="S12" s="172" t="s">
        <v>379</v>
      </c>
      <c r="T12" s="2" t="s">
        <v>378</v>
      </c>
      <c r="U12" s="170">
        <v>0.16</v>
      </c>
      <c r="V12" s="113"/>
    </row>
    <row r="13" spans="2:22" ht="15.75" customHeight="1">
      <c r="B13" s="22" t="s">
        <v>49</v>
      </c>
      <c r="C13" s="145">
        <v>0</v>
      </c>
      <c r="D13" s="388" t="s">
        <v>48</v>
      </c>
      <c r="E13" s="388"/>
      <c r="F13" s="388"/>
      <c r="G13" s="388"/>
      <c r="I13" s="20" t="s">
        <v>313</v>
      </c>
      <c r="J13" s="167">
        <v>-0.05</v>
      </c>
      <c r="K13" s="167"/>
      <c r="L13" s="168"/>
      <c r="Q13" s="176"/>
    </row>
    <row r="14" spans="2:22" ht="15.75" customHeight="1">
      <c r="B14" s="22" t="s">
        <v>50</v>
      </c>
      <c r="C14" s="145">
        <f>AVERAGE(Consolidated!E28:H28)</f>
        <v>-64693.810000000012</v>
      </c>
      <c r="D14" s="388" t="s">
        <v>51</v>
      </c>
      <c r="E14" s="388"/>
      <c r="F14" s="388"/>
      <c r="G14" s="388"/>
      <c r="J14" s="167">
        <f>SUM(J11:J13)</f>
        <v>-8.6499999999999994E-2</v>
      </c>
      <c r="K14" s="168"/>
      <c r="L14" s="168"/>
      <c r="Q14" s="176"/>
      <c r="S14" s="172" t="s">
        <v>136</v>
      </c>
      <c r="T14" s="192">
        <v>46360714.289999999</v>
      </c>
      <c r="U14" s="192">
        <v>29004.77</v>
      </c>
    </row>
    <row r="15" spans="2:22" ht="15.75" customHeight="1">
      <c r="B15" s="22" t="s">
        <v>52</v>
      </c>
      <c r="C15" s="145">
        <f>AVERAGE(Consolidated!E35:H35)</f>
        <v>-23355.479999999996</v>
      </c>
      <c r="D15" s="388" t="s">
        <v>51</v>
      </c>
      <c r="E15" s="388"/>
      <c r="F15" s="388"/>
      <c r="G15" s="388"/>
      <c r="I15" s="386" t="s">
        <v>384</v>
      </c>
      <c r="J15" s="386"/>
      <c r="K15" s="20" t="s">
        <v>386</v>
      </c>
      <c r="L15" s="168">
        <v>-0.1</v>
      </c>
      <c r="Q15" s="176"/>
      <c r="S15" s="172" t="s">
        <v>138</v>
      </c>
      <c r="T15" s="192">
        <v>19600204.43</v>
      </c>
      <c r="U15" s="192">
        <v>16584.420000000002</v>
      </c>
    </row>
    <row r="16" spans="2:22" ht="15.75" customHeight="1">
      <c r="B16" s="22" t="s">
        <v>53</v>
      </c>
      <c r="C16" s="166">
        <f>-0.4%</f>
        <v>-4.0000000000000001E-3</v>
      </c>
      <c r="D16" s="388" t="s">
        <v>48</v>
      </c>
      <c r="E16" s="388"/>
      <c r="F16" s="388"/>
      <c r="G16" s="388"/>
      <c r="I16" s="20" t="s">
        <v>385</v>
      </c>
      <c r="J16" s="167">
        <v>-0.15</v>
      </c>
      <c r="Q16" s="176"/>
      <c r="S16" s="172" t="s">
        <v>150</v>
      </c>
      <c r="T16" s="245">
        <f>T14+T15</f>
        <v>65960918.719999999</v>
      </c>
      <c r="U16" s="245">
        <f>U14+U15</f>
        <v>45589.19</v>
      </c>
    </row>
    <row r="17" spans="1:24" ht="15.75" customHeight="1">
      <c r="B17" s="22" t="s">
        <v>54</v>
      </c>
      <c r="C17" s="166">
        <v>-3.9277296541559398E-2</v>
      </c>
      <c r="D17" s="388" t="s">
        <v>51</v>
      </c>
      <c r="E17" s="388"/>
      <c r="F17" s="388"/>
      <c r="G17" s="388"/>
      <c r="I17" s="20" t="s">
        <v>377</v>
      </c>
      <c r="J17" s="167">
        <v>-8.6559128863496398E-2</v>
      </c>
      <c r="K17" s="168"/>
      <c r="L17" s="168"/>
      <c r="Q17" s="176"/>
    </row>
    <row r="18" spans="1:24" ht="15.75" customHeight="1">
      <c r="B18" s="22" t="s">
        <v>55</v>
      </c>
      <c r="C18" s="166">
        <v>0</v>
      </c>
      <c r="D18" s="388" t="s">
        <v>56</v>
      </c>
      <c r="E18" s="388"/>
      <c r="F18" s="388"/>
      <c r="G18" s="388"/>
      <c r="J18" s="111">
        <f>J16+J17</f>
        <v>-0.23655912886349639</v>
      </c>
      <c r="K18" s="168"/>
      <c r="L18" s="168"/>
      <c r="Q18" s="176"/>
    </row>
    <row r="19" spans="1:24" ht="15.75" customHeight="1">
      <c r="B19" s="22" t="s">
        <v>554</v>
      </c>
      <c r="C19" s="253">
        <v>5.9837660083361839E-4</v>
      </c>
      <c r="D19" s="144"/>
      <c r="E19" s="144"/>
      <c r="F19" s="144"/>
      <c r="G19" s="144"/>
      <c r="J19" s="111"/>
      <c r="K19" s="168"/>
      <c r="L19" s="168"/>
      <c r="Q19" s="176"/>
    </row>
    <row r="20" spans="1:24" ht="15.75" customHeight="1">
      <c r="B20" s="22" t="s">
        <v>555</v>
      </c>
      <c r="C20" s="253">
        <v>4.1748034413506218E-5</v>
      </c>
      <c r="D20" s="144"/>
      <c r="E20" s="144"/>
      <c r="F20" s="144"/>
      <c r="G20" s="144"/>
      <c r="J20" s="111"/>
      <c r="K20" s="168"/>
      <c r="L20" s="168"/>
      <c r="Q20" s="176"/>
      <c r="S20" t="s">
        <v>588</v>
      </c>
    </row>
    <row r="21" spans="1:24" ht="15.75" customHeight="1">
      <c r="B21" s="22" t="s">
        <v>234</v>
      </c>
      <c r="C21" s="255">
        <v>21495.8</v>
      </c>
      <c r="D21" s="144"/>
      <c r="E21" s="144"/>
      <c r="F21" s="144"/>
      <c r="G21" s="144"/>
      <c r="J21" s="111"/>
      <c r="K21" s="168"/>
      <c r="L21" s="168"/>
      <c r="Q21" s="176"/>
    </row>
    <row r="22" spans="1:24" ht="15.75" customHeight="1">
      <c r="B22" s="22" t="s">
        <v>548</v>
      </c>
      <c r="C22" s="253">
        <v>1.3013201377075221E-4</v>
      </c>
      <c r="D22" s="144"/>
      <c r="E22" s="144"/>
      <c r="F22" s="144"/>
      <c r="G22" s="144"/>
      <c r="J22" s="111"/>
      <c r="K22" s="168"/>
      <c r="L22" s="168"/>
      <c r="Q22" s="176"/>
    </row>
    <row r="23" spans="1:24" ht="15.75" customHeight="1">
      <c r="B23" s="22" t="s">
        <v>584</v>
      </c>
      <c r="C23" s="255">
        <v>34000</v>
      </c>
      <c r="D23" s="144"/>
      <c r="E23" s="144"/>
      <c r="F23" s="144"/>
      <c r="G23" s="144"/>
      <c r="J23" s="111"/>
      <c r="K23" s="168"/>
      <c r="L23" s="168"/>
      <c r="Q23" s="176"/>
    </row>
    <row r="24" spans="1:24">
      <c r="Q24" s="176"/>
    </row>
    <row r="25" spans="1:24" ht="18" customHeight="1">
      <c r="B25" s="383" t="s">
        <v>57</v>
      </c>
      <c r="C25" s="383"/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  <c r="O25" s="383"/>
      <c r="Q25" s="176"/>
    </row>
    <row r="26" spans="1:24" ht="18" customHeight="1">
      <c r="B26" s="24" t="s">
        <v>58</v>
      </c>
      <c r="C26" s="24" t="s">
        <v>59</v>
      </c>
      <c r="D26" s="24" t="s">
        <v>60</v>
      </c>
      <c r="E26" s="24" t="s">
        <v>61</v>
      </c>
      <c r="F26" s="24" t="s">
        <v>62</v>
      </c>
      <c r="G26" s="25" t="s">
        <v>63</v>
      </c>
      <c r="H26" s="25" t="s">
        <v>64</v>
      </c>
      <c r="I26" s="25" t="s">
        <v>65</v>
      </c>
      <c r="J26" s="25" t="s">
        <v>66</v>
      </c>
      <c r="K26" s="25" t="s">
        <v>67</v>
      </c>
      <c r="L26" s="25" t="s">
        <v>68</v>
      </c>
      <c r="M26" s="25" t="s">
        <v>69</v>
      </c>
      <c r="N26" s="25" t="s">
        <v>70</v>
      </c>
      <c r="O26" s="24" t="s">
        <v>71</v>
      </c>
      <c r="Q26" s="176"/>
    </row>
    <row r="27" spans="1:24" ht="15.75" customHeight="1">
      <c r="B27" s="26" t="s">
        <v>72</v>
      </c>
      <c r="C27" s="27">
        <f>Consolidated!E4</f>
        <v>290504767</v>
      </c>
      <c r="D27" s="27">
        <f>Consolidated!F4</f>
        <v>304511145</v>
      </c>
      <c r="E27" s="27">
        <f>Consolidated!G4</f>
        <v>309415143</v>
      </c>
      <c r="F27" s="27">
        <f>Consolidated!H4</f>
        <v>311856596</v>
      </c>
      <c r="G27" s="28">
        <f>F27*(1+$L$6)</f>
        <v>311856596</v>
      </c>
      <c r="H27" s="274">
        <f>G27-T15</f>
        <v>292256391.56999999</v>
      </c>
      <c r="I27" s="28">
        <f>H27*(1+$L$6)</f>
        <v>292256391.56999999</v>
      </c>
      <c r="J27" s="274">
        <f>I27-T14</f>
        <v>245895677.28</v>
      </c>
      <c r="K27" s="28">
        <f>J27*(1+$L$6)</f>
        <v>245895677.28</v>
      </c>
      <c r="L27" s="28">
        <f>K27*(1+$L$6)</f>
        <v>245895677.28</v>
      </c>
      <c r="M27" s="28">
        <f t="shared" ref="M27:N27" si="0">L27*(1+$L$6)</f>
        <v>245895677.28</v>
      </c>
      <c r="N27" s="28">
        <f t="shared" si="0"/>
        <v>245895677.28</v>
      </c>
      <c r="O27" s="244">
        <f>N27</f>
        <v>245895677.28</v>
      </c>
      <c r="Q27"/>
    </row>
    <row r="28" spans="1:24">
      <c r="Q28" s="176"/>
    </row>
    <row r="29" spans="1:24" ht="18" customHeight="1">
      <c r="B29" s="383" t="s">
        <v>370</v>
      </c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Q29" s="176"/>
    </row>
    <row r="30" spans="1:24" ht="18" customHeight="1">
      <c r="B30" s="24" t="s">
        <v>6</v>
      </c>
      <c r="C30" s="24" t="s">
        <v>59</v>
      </c>
      <c r="D30" s="24" t="s">
        <v>60</v>
      </c>
      <c r="E30" s="24" t="s">
        <v>61</v>
      </c>
      <c r="F30" s="24" t="s">
        <v>62</v>
      </c>
      <c r="G30" s="25" t="s">
        <v>63</v>
      </c>
      <c r="H30" s="25" t="s">
        <v>64</v>
      </c>
      <c r="I30" s="25" t="s">
        <v>65</v>
      </c>
      <c r="J30" s="25" t="s">
        <v>66</v>
      </c>
      <c r="K30" s="25" t="s">
        <v>67</v>
      </c>
      <c r="L30" s="25" t="s">
        <v>68</v>
      </c>
      <c r="M30" s="25" t="s">
        <v>69</v>
      </c>
      <c r="N30" s="25" t="s">
        <v>70</v>
      </c>
      <c r="O30" s="24" t="s">
        <v>71</v>
      </c>
      <c r="Q30" s="176"/>
      <c r="X30" s="4" t="s">
        <v>678</v>
      </c>
    </row>
    <row r="31" spans="1:24" ht="15.75" customHeight="1">
      <c r="B31" s="29" t="s">
        <v>9</v>
      </c>
      <c r="C31" s="148">
        <f>SUM(C32:C36)</f>
        <v>279259.02835313906</v>
      </c>
      <c r="D31" s="148">
        <f t="shared" ref="D31:N31" si="1">SUM(D32:D36)</f>
        <v>290047.53413629677</v>
      </c>
      <c r="E31" s="148">
        <f t="shared" si="1"/>
        <v>293824.87120256713</v>
      </c>
      <c r="F31" s="148">
        <f t="shared" si="1"/>
        <v>261705.41660908179</v>
      </c>
      <c r="G31" s="148">
        <f t="shared" si="1"/>
        <v>295705.41660908179</v>
      </c>
      <c r="H31" s="148">
        <f t="shared" si="1"/>
        <v>275752.11252723209</v>
      </c>
      <c r="I31" s="148">
        <f t="shared" si="1"/>
        <v>275752.11252723209</v>
      </c>
      <c r="J31" s="148">
        <f t="shared" si="1"/>
        <v>238778.86072121022</v>
      </c>
      <c r="K31" s="148">
        <f t="shared" si="1"/>
        <v>238778.86072121022</v>
      </c>
      <c r="L31" s="148">
        <f t="shared" si="1"/>
        <v>238778.86072121022</v>
      </c>
      <c r="M31" s="148">
        <f t="shared" si="1"/>
        <v>238778.86072121022</v>
      </c>
      <c r="N31" s="148">
        <f t="shared" si="1"/>
        <v>238778.86072121022</v>
      </c>
      <c r="O31" s="148">
        <f t="shared" ref="O31:O53" si="2">SUM(C31:N31)</f>
        <v>3165940.7955706809</v>
      </c>
      <c r="Q31" s="176"/>
      <c r="S31" s="192"/>
      <c r="W31" t="s">
        <v>9</v>
      </c>
      <c r="X31" s="184">
        <f t="shared" ref="X31:X36" si="3">SUM(C31:G31)</f>
        <v>1420542.2669101665</v>
      </c>
    </row>
    <row r="32" spans="1:24" ht="15.75" customHeight="1" outlineLevel="1">
      <c r="A32" s="251"/>
      <c r="B32" s="256" t="s">
        <v>225</v>
      </c>
      <c r="C32" s="257">
        <f>C27*$C$19</f>
        <v>173831.25500342232</v>
      </c>
      <c r="D32" s="257">
        <f t="shared" ref="D32:F32" si="4">D27*$C$19</f>
        <v>182212.34386105309</v>
      </c>
      <c r="E32" s="257">
        <f t="shared" si="4"/>
        <v>185146.78151478796</v>
      </c>
      <c r="F32" s="257">
        <f t="shared" si="4"/>
        <v>186607.68986202299</v>
      </c>
      <c r="G32" s="257">
        <f>G27*$C$19</f>
        <v>186607.68986202299</v>
      </c>
      <c r="H32" s="257">
        <f>G32-U15</f>
        <v>170023.26986202298</v>
      </c>
      <c r="I32" s="257">
        <f>H32*(1+$L$6)</f>
        <v>170023.26986202298</v>
      </c>
      <c r="J32" s="257">
        <f>I32*(1+$L$6)-U14</f>
        <v>141018.49986202299</v>
      </c>
      <c r="K32" s="257">
        <f>J32*(1+$L$6)</f>
        <v>141018.49986202299</v>
      </c>
      <c r="L32" s="257">
        <f>K32*(1+$L$6)</f>
        <v>141018.49986202299</v>
      </c>
      <c r="M32" s="257">
        <f>L32*(1+$L$6)</f>
        <v>141018.49986202299</v>
      </c>
      <c r="N32" s="257">
        <f>M32*(1+$L$6)</f>
        <v>141018.49986202299</v>
      </c>
      <c r="O32" s="257">
        <f>SUM(C32:N32)</f>
        <v>1959544.7991374698</v>
      </c>
      <c r="P32" s="251"/>
      <c r="Q32" s="176"/>
      <c r="W32" t="s">
        <v>225</v>
      </c>
      <c r="X32" s="184">
        <f t="shared" si="3"/>
        <v>914405.76010330929</v>
      </c>
    </row>
    <row r="33" spans="1:24" ht="15.75" customHeight="1" outlineLevel="1">
      <c r="A33" s="251"/>
      <c r="B33" s="256" t="s">
        <v>551</v>
      </c>
      <c r="C33" s="257">
        <f>C27*$C$20</f>
        <v>12128.003010003606</v>
      </c>
      <c r="D33" s="257">
        <f t="shared" ref="D33:N33" si="5">D27*$C$20</f>
        <v>12712.741760756182</v>
      </c>
      <c r="E33" s="257">
        <f t="shared" si="5"/>
        <v>12917.474038023947</v>
      </c>
      <c r="F33" s="257">
        <f t="shared" si="5"/>
        <v>13019.399901886905</v>
      </c>
      <c r="G33" s="257">
        <f t="shared" si="5"/>
        <v>13019.399901886905</v>
      </c>
      <c r="H33" s="257">
        <f t="shared" si="5"/>
        <v>12201.129892831508</v>
      </c>
      <c r="I33" s="257">
        <f>I27*$C$20</f>
        <v>12201.129892831508</v>
      </c>
      <c r="J33" s="257">
        <f>J27*$C$20</f>
        <v>10265.66119721786</v>
      </c>
      <c r="K33" s="257">
        <f>K27*$C$20</f>
        <v>10265.66119721786</v>
      </c>
      <c r="L33" s="257">
        <f t="shared" si="5"/>
        <v>10265.66119721786</v>
      </c>
      <c r="M33" s="257">
        <f t="shared" si="5"/>
        <v>10265.66119721786</v>
      </c>
      <c r="N33" s="257">
        <f t="shared" si="5"/>
        <v>10265.66119721786</v>
      </c>
      <c r="O33" s="257">
        <f t="shared" ref="O33:O36" si="6">SUM(C33:N33)</f>
        <v>139527.58438430988</v>
      </c>
      <c r="P33" s="251"/>
      <c r="Q33" s="176"/>
      <c r="W33" t="s">
        <v>551</v>
      </c>
      <c r="X33" s="184">
        <f t="shared" si="3"/>
        <v>63797.018612557549</v>
      </c>
    </row>
    <row r="34" spans="1:24" ht="15.75" customHeight="1" outlineLevel="1">
      <c r="A34" s="251"/>
      <c r="B34" s="256" t="s">
        <v>535</v>
      </c>
      <c r="C34" s="257">
        <f>CNS!B11</f>
        <v>34000</v>
      </c>
      <c r="D34" s="257">
        <f>CNS!C11</f>
        <v>34000</v>
      </c>
      <c r="E34" s="257">
        <f>CNS!D11</f>
        <v>34000</v>
      </c>
      <c r="F34" s="257" t="str">
        <f>CNS!E11</f>
        <v>0,00</v>
      </c>
      <c r="G34" s="257">
        <f>$C$23</f>
        <v>34000</v>
      </c>
      <c r="H34" s="257">
        <f>$C$23</f>
        <v>34000</v>
      </c>
      <c r="I34" s="257">
        <f t="shared" ref="I34:N34" si="7">$C$23</f>
        <v>34000</v>
      </c>
      <c r="J34" s="257">
        <f t="shared" si="7"/>
        <v>34000</v>
      </c>
      <c r="K34" s="257">
        <f t="shared" si="7"/>
        <v>34000</v>
      </c>
      <c r="L34" s="257">
        <f t="shared" si="7"/>
        <v>34000</v>
      </c>
      <c r="M34" s="257">
        <f t="shared" si="7"/>
        <v>34000</v>
      </c>
      <c r="N34" s="257">
        <f t="shared" si="7"/>
        <v>34000</v>
      </c>
      <c r="O34" s="257">
        <f t="shared" si="6"/>
        <v>374000</v>
      </c>
      <c r="P34" s="251"/>
      <c r="Q34" s="176"/>
      <c r="W34" t="s">
        <v>535</v>
      </c>
      <c r="X34" s="184">
        <f t="shared" si="3"/>
        <v>136000</v>
      </c>
    </row>
    <row r="35" spans="1:24" ht="15.75" customHeight="1" outlineLevel="1">
      <c r="A35" s="251"/>
      <c r="B35" s="256" t="s">
        <v>234</v>
      </c>
      <c r="C35" s="257">
        <f>$C$21</f>
        <v>21495.8</v>
      </c>
      <c r="D35" s="257">
        <f t="shared" ref="D35:N35" si="8">$C$21</f>
        <v>21495.8</v>
      </c>
      <c r="E35" s="257">
        <f t="shared" si="8"/>
        <v>21495.8</v>
      </c>
      <c r="F35" s="257">
        <f t="shared" si="8"/>
        <v>21495.8</v>
      </c>
      <c r="G35" s="257">
        <f t="shared" si="8"/>
        <v>21495.8</v>
      </c>
      <c r="H35" s="257">
        <f t="shared" si="8"/>
        <v>21495.8</v>
      </c>
      <c r="I35" s="257">
        <f t="shared" si="8"/>
        <v>21495.8</v>
      </c>
      <c r="J35" s="257">
        <f t="shared" si="8"/>
        <v>21495.8</v>
      </c>
      <c r="K35" s="257">
        <f t="shared" si="8"/>
        <v>21495.8</v>
      </c>
      <c r="L35" s="257">
        <f t="shared" si="8"/>
        <v>21495.8</v>
      </c>
      <c r="M35" s="257">
        <f t="shared" si="8"/>
        <v>21495.8</v>
      </c>
      <c r="N35" s="257">
        <f t="shared" si="8"/>
        <v>21495.8</v>
      </c>
      <c r="O35" s="257">
        <f t="shared" si="6"/>
        <v>257949.59999999995</v>
      </c>
      <c r="P35" s="251"/>
      <c r="Q35" s="176"/>
      <c r="W35" t="s">
        <v>234</v>
      </c>
      <c r="X35" s="184">
        <f t="shared" si="3"/>
        <v>107479</v>
      </c>
    </row>
    <row r="36" spans="1:24" ht="15.75" customHeight="1" outlineLevel="1">
      <c r="A36" s="251"/>
      <c r="B36" s="256" t="s">
        <v>552</v>
      </c>
      <c r="C36" s="257">
        <f>C27*$C$22</f>
        <v>37803.97033971316</v>
      </c>
      <c r="D36" s="257">
        <f t="shared" ref="D36:N36" si="9">D27*$C$22</f>
        <v>39626.648514487519</v>
      </c>
      <c r="E36" s="257">
        <f t="shared" si="9"/>
        <v>40264.815649755263</v>
      </c>
      <c r="F36" s="257">
        <f t="shared" si="9"/>
        <v>40582.526845171909</v>
      </c>
      <c r="G36" s="257">
        <f t="shared" si="9"/>
        <v>40582.526845171909</v>
      </c>
      <c r="H36" s="257">
        <f t="shared" si="9"/>
        <v>38031.912772377589</v>
      </c>
      <c r="I36" s="257">
        <f t="shared" si="9"/>
        <v>38031.912772377589</v>
      </c>
      <c r="J36" s="257">
        <f t="shared" si="9"/>
        <v>31998.899661969401</v>
      </c>
      <c r="K36" s="257">
        <f t="shared" si="9"/>
        <v>31998.899661969401</v>
      </c>
      <c r="L36" s="257">
        <f t="shared" si="9"/>
        <v>31998.899661969401</v>
      </c>
      <c r="M36" s="257">
        <f t="shared" si="9"/>
        <v>31998.899661969401</v>
      </c>
      <c r="N36" s="257">
        <f t="shared" si="9"/>
        <v>31998.899661969401</v>
      </c>
      <c r="O36" s="257">
        <f t="shared" si="6"/>
        <v>434918.81204890192</v>
      </c>
      <c r="P36" s="251"/>
      <c r="Q36" s="176"/>
      <c r="W36" t="s">
        <v>552</v>
      </c>
      <c r="X36" s="184">
        <f t="shared" si="3"/>
        <v>198860.48819429975</v>
      </c>
    </row>
    <row r="37" spans="1:24" ht="15.75" customHeight="1">
      <c r="B37" s="29" t="s">
        <v>374</v>
      </c>
      <c r="C37" s="148">
        <f t="shared" ref="C37:N37" si="10">C31*$T$6</f>
        <v>89362.889073004495</v>
      </c>
      <c r="D37" s="148">
        <f t="shared" si="10"/>
        <v>92815.21092361497</v>
      </c>
      <c r="E37" s="148">
        <f t="shared" si="10"/>
        <v>94023.958784821487</v>
      </c>
      <c r="F37" s="148">
        <f>F31*$T$6</f>
        <v>83745.733314906174</v>
      </c>
      <c r="G37" s="148">
        <f t="shared" si="10"/>
        <v>94625.733314906174</v>
      </c>
      <c r="H37" s="148">
        <f>H31*$T$6</f>
        <v>88240.676008714276</v>
      </c>
      <c r="I37" s="148">
        <f t="shared" si="10"/>
        <v>88240.676008714276</v>
      </c>
      <c r="J37" s="148">
        <f t="shared" si="10"/>
        <v>76409.235430787274</v>
      </c>
      <c r="K37" s="148">
        <f t="shared" si="10"/>
        <v>76409.235430787274</v>
      </c>
      <c r="L37" s="148">
        <f t="shared" si="10"/>
        <v>76409.235430787274</v>
      </c>
      <c r="M37" s="148">
        <f t="shared" si="10"/>
        <v>76409.235430787274</v>
      </c>
      <c r="N37" s="148">
        <f t="shared" si="10"/>
        <v>76409.235430787274</v>
      </c>
      <c r="O37" s="148">
        <f>SUM(C37:N37)</f>
        <v>1013101.0545826184</v>
      </c>
      <c r="Q37" s="176"/>
    </row>
    <row r="38" spans="1:24" ht="15.75" customHeight="1">
      <c r="B38" s="30" t="s">
        <v>11</v>
      </c>
      <c r="C38" s="31">
        <f t="shared" ref="C38:N38" si="11">SUM(C39:C43)</f>
        <v>-198990.39569184982</v>
      </c>
      <c r="D38" s="31">
        <f t="shared" si="11"/>
        <v>-142721.5079576892</v>
      </c>
      <c r="E38" s="31">
        <f t="shared" si="11"/>
        <v>-144874.59008546331</v>
      </c>
      <c r="F38" s="31">
        <f>SUM(F39:F43)</f>
        <v>-192974.38698869682</v>
      </c>
      <c r="G38" s="31">
        <f t="shared" si="11"/>
        <v>-145946.50096717666</v>
      </c>
      <c r="H38" s="31">
        <f t="shared" si="11"/>
        <v>-134573.11764052231</v>
      </c>
      <c r="I38" s="31">
        <f t="shared" si="11"/>
        <v>-184562.89438524607</v>
      </c>
      <c r="J38" s="31">
        <f t="shared" si="11"/>
        <v>-113498.36411108983</v>
      </c>
      <c r="K38" s="31">
        <f t="shared" si="11"/>
        <v>-113498.36411108983</v>
      </c>
      <c r="L38" s="31">
        <f t="shared" si="11"/>
        <v>-158696.954149269</v>
      </c>
      <c r="M38" s="31">
        <f t="shared" si="11"/>
        <v>-113498.36411108983</v>
      </c>
      <c r="N38" s="31">
        <f t="shared" si="11"/>
        <v>-113498.36411108983</v>
      </c>
      <c r="O38" s="31">
        <f>SUM(C38:N38)</f>
        <v>-1757333.8043102724</v>
      </c>
      <c r="Q38" s="176"/>
    </row>
    <row r="39" spans="1:24" ht="15.75" customHeight="1">
      <c r="B39" s="32" t="s">
        <v>73</v>
      </c>
      <c r="C39" s="33">
        <f>Consolidated!E21-'Orçamento 2026'!C40</f>
        <v>-55400.750000000007</v>
      </c>
      <c r="D39" s="33">
        <f>D31*$C$10</f>
        <v>-40606.654779081553</v>
      </c>
      <c r="E39" s="33">
        <f>E31*$C$10</f>
        <v>-41135.481968359403</v>
      </c>
      <c r="F39" s="33">
        <f>F31*$C$10</f>
        <v>-36638.758325271454</v>
      </c>
      <c r="G39" s="33">
        <f>G31*$C$10</f>
        <v>-41398.758325271454</v>
      </c>
      <c r="H39" s="33">
        <f t="shared" ref="H39:O39" si="12">H31*$C$10</f>
        <v>-38605.295753812497</v>
      </c>
      <c r="I39" s="33">
        <f>I31*$C$10</f>
        <v>-38605.295753812497</v>
      </c>
      <c r="J39" s="33">
        <f t="shared" si="12"/>
        <v>-33429.040500969437</v>
      </c>
      <c r="K39" s="33">
        <f t="shared" si="12"/>
        <v>-33429.040500969437</v>
      </c>
      <c r="L39" s="33">
        <f t="shared" si="12"/>
        <v>-33429.040500969437</v>
      </c>
      <c r="M39" s="33">
        <f t="shared" si="12"/>
        <v>-33429.040500969437</v>
      </c>
      <c r="N39" s="33">
        <f t="shared" si="12"/>
        <v>-33429.040500969437</v>
      </c>
      <c r="O39" s="34">
        <f t="shared" si="12"/>
        <v>-443231.71137989534</v>
      </c>
      <c r="Q39" s="177"/>
    </row>
    <row r="40" spans="1:24" ht="15.75" customHeight="1">
      <c r="B40" s="32" t="s">
        <v>380</v>
      </c>
      <c r="C40" s="33">
        <v>-46113.85</v>
      </c>
      <c r="D40" s="33"/>
      <c r="E40" s="33"/>
      <c r="F40" s="33">
        <f>SUM(C31:E31)*$C$9</f>
        <v>-51787.886021520171</v>
      </c>
      <c r="G40" s="33"/>
      <c r="H40" s="33"/>
      <c r="I40" s="33">
        <f>SUM(F31:H31)*$C$9</f>
        <v>-49989.776744723742</v>
      </c>
      <c r="J40" s="33"/>
      <c r="K40" s="33"/>
      <c r="L40" s="33">
        <f>SUM(I31:K31)*$C$9</f>
        <v>-45198.590038179151</v>
      </c>
      <c r="M40" s="33"/>
      <c r="N40" s="33"/>
      <c r="O40" s="34">
        <f t="shared" si="2"/>
        <v>-193090.10280442305</v>
      </c>
      <c r="Q40" s="178"/>
    </row>
    <row r="41" spans="1:24" ht="15.75" customHeight="1">
      <c r="B41" s="32" t="s">
        <v>74</v>
      </c>
      <c r="C41" s="33">
        <f>(C32+C33+C36)*$C$11</f>
        <v>-96218.188191849797</v>
      </c>
      <c r="D41" s="33">
        <f t="shared" ref="D41:N41" si="13">(D32+D33+D36)*$C$11</f>
        <v>-100857.24567860762</v>
      </c>
      <c r="E41" s="33">
        <f t="shared" si="13"/>
        <v>-102481.50061710388</v>
      </c>
      <c r="F41" s="33">
        <f t="shared" si="13"/>
        <v>-103290.13514190518</v>
      </c>
      <c r="G41" s="33">
        <f>(G32+G33+G36)*$C$11</f>
        <v>-103290.13514190518</v>
      </c>
      <c r="H41" s="33">
        <f t="shared" si="13"/>
        <v>-94710.214386709806</v>
      </c>
      <c r="I41" s="33">
        <f t="shared" si="13"/>
        <v>-94710.214386709806</v>
      </c>
      <c r="J41" s="33">
        <f t="shared" si="13"/>
        <v>-78811.716110120396</v>
      </c>
      <c r="K41" s="33">
        <f t="shared" si="13"/>
        <v>-78811.716110120396</v>
      </c>
      <c r="L41" s="33">
        <f t="shared" si="13"/>
        <v>-78811.716110120396</v>
      </c>
      <c r="M41" s="33">
        <f t="shared" si="13"/>
        <v>-78811.716110120396</v>
      </c>
      <c r="N41" s="33">
        <f t="shared" si="13"/>
        <v>-78811.716110120396</v>
      </c>
      <c r="O41" s="34">
        <f t="shared" si="2"/>
        <v>-1089616.2140953932</v>
      </c>
      <c r="Q41" s="179"/>
    </row>
    <row r="42" spans="1:24" ht="15.75" customHeight="1">
      <c r="B42" s="32" t="s">
        <v>75</v>
      </c>
      <c r="C42" s="33">
        <f>$C$12</f>
        <v>-1257.6075000000001</v>
      </c>
      <c r="D42" s="33">
        <f>$C$12</f>
        <v>-1257.6075000000001</v>
      </c>
      <c r="E42" s="33">
        <f t="shared" ref="E42:N42" si="14">$C$12</f>
        <v>-1257.6075000000001</v>
      </c>
      <c r="F42" s="33">
        <f t="shared" si="14"/>
        <v>-1257.6075000000001</v>
      </c>
      <c r="G42" s="33">
        <f t="shared" si="14"/>
        <v>-1257.6075000000001</v>
      </c>
      <c r="H42" s="33">
        <f t="shared" si="14"/>
        <v>-1257.6075000000001</v>
      </c>
      <c r="I42" s="33">
        <f>$C$12</f>
        <v>-1257.6075000000001</v>
      </c>
      <c r="J42" s="33">
        <f t="shared" si="14"/>
        <v>-1257.6075000000001</v>
      </c>
      <c r="K42" s="33">
        <f t="shared" si="14"/>
        <v>-1257.6075000000001</v>
      </c>
      <c r="L42" s="33">
        <f t="shared" si="14"/>
        <v>-1257.6075000000001</v>
      </c>
      <c r="M42" s="33">
        <f t="shared" si="14"/>
        <v>-1257.6075000000001</v>
      </c>
      <c r="N42" s="33">
        <f t="shared" si="14"/>
        <v>-1257.6075000000001</v>
      </c>
      <c r="O42" s="34">
        <f t="shared" si="2"/>
        <v>-15091.29</v>
      </c>
      <c r="Q42" s="176"/>
    </row>
    <row r="43" spans="1:24" ht="15.75" customHeight="1">
      <c r="B43" s="32" t="s">
        <v>76</v>
      </c>
      <c r="C43" s="33">
        <f t="shared" ref="C43:N43" si="15">$C$13</f>
        <v>0</v>
      </c>
      <c r="D43" s="33">
        <f t="shared" si="15"/>
        <v>0</v>
      </c>
      <c r="E43" s="33">
        <f t="shared" si="15"/>
        <v>0</v>
      </c>
      <c r="F43" s="33">
        <f t="shared" si="15"/>
        <v>0</v>
      </c>
      <c r="G43" s="33">
        <f t="shared" si="15"/>
        <v>0</v>
      </c>
      <c r="H43" s="33">
        <f t="shared" si="15"/>
        <v>0</v>
      </c>
      <c r="I43" s="33">
        <f t="shared" si="15"/>
        <v>0</v>
      </c>
      <c r="J43" s="33">
        <f t="shared" si="15"/>
        <v>0</v>
      </c>
      <c r="K43" s="33">
        <f t="shared" si="15"/>
        <v>0</v>
      </c>
      <c r="L43" s="33">
        <f t="shared" si="15"/>
        <v>0</v>
      </c>
      <c r="M43" s="33">
        <f t="shared" si="15"/>
        <v>0</v>
      </c>
      <c r="N43" s="33">
        <f t="shared" si="15"/>
        <v>0</v>
      </c>
      <c r="O43" s="34">
        <f t="shared" si="2"/>
        <v>0</v>
      </c>
      <c r="Q43" s="176"/>
    </row>
    <row r="44" spans="1:24" ht="15.75" customHeight="1">
      <c r="B44" s="35" t="s">
        <v>14</v>
      </c>
      <c r="C44" s="36">
        <f t="shared" ref="C44:M44" si="16">C31+C38</f>
        <v>80268.632661289244</v>
      </c>
      <c r="D44" s="36">
        <f t="shared" si="16"/>
        <v>147326.02617860757</v>
      </c>
      <c r="E44" s="36">
        <f t="shared" si="16"/>
        <v>148950.28111710382</v>
      </c>
      <c r="F44" s="36">
        <f>F31+F38</f>
        <v>68731.029620384972</v>
      </c>
      <c r="G44" s="36">
        <f t="shared" si="16"/>
        <v>149758.91564190513</v>
      </c>
      <c r="H44" s="36">
        <f t="shared" si="16"/>
        <v>141178.99488670978</v>
      </c>
      <c r="I44" s="36">
        <f t="shared" si="16"/>
        <v>91189.218141986028</v>
      </c>
      <c r="J44" s="36">
        <f t="shared" si="16"/>
        <v>125280.49661012039</v>
      </c>
      <c r="K44" s="36">
        <f t="shared" si="16"/>
        <v>125280.49661012039</v>
      </c>
      <c r="L44" s="36">
        <f t="shared" si="16"/>
        <v>80081.906571941217</v>
      </c>
      <c r="M44" s="36">
        <f t="shared" si="16"/>
        <v>125280.49661012039</v>
      </c>
      <c r="N44" s="36">
        <f>N31+N38</f>
        <v>125280.49661012039</v>
      </c>
      <c r="O44" s="37">
        <f>SUM(C44:N44)</f>
        <v>1408606.9912604094</v>
      </c>
      <c r="Q44" s="176"/>
    </row>
    <row r="45" spans="1:24" ht="15.75" customHeight="1">
      <c r="B45" s="30" t="s">
        <v>15</v>
      </c>
      <c r="C45" s="31">
        <f>$C$14*(1+$C$8)^0</f>
        <v>-64693.810000000012</v>
      </c>
      <c r="D45" s="31">
        <f>$C$14*(1+$C$8)^1</f>
        <v>-64983.101240116397</v>
      </c>
      <c r="E45" s="31">
        <f>$C$14*(1+$C$8)^2</f>
        <v>-65273.68610355792</v>
      </c>
      <c r="F45" s="31">
        <f>$C$14*(1+$C$8)^3</f>
        <v>-65565.570375018608</v>
      </c>
      <c r="G45" s="31">
        <f>$C$14*(1+$C$8)^4</f>
        <v>-65858.759865059881</v>
      </c>
      <c r="H45" s="31">
        <f>$C$14*(1+$C$8)^5</f>
        <v>-66153.260410226256</v>
      </c>
      <c r="I45" s="31">
        <f>$C$14*(1+$C$8)^6</f>
        <v>-66449.077873161528</v>
      </c>
      <c r="J45" s="31">
        <f>$C$14*(1+$C$8)^7</f>
        <v>-66746.218142725469</v>
      </c>
      <c r="K45" s="31">
        <f>$C$14*(1+$C$8)^8</f>
        <v>-67044.687134110995</v>
      </c>
      <c r="L45" s="31">
        <f>$C$14*(1+$C$8)^9</f>
        <v>-67344.490788962095</v>
      </c>
      <c r="M45" s="31">
        <f>$C$14*(1+$C$8)^10</f>
        <v>-67645.635075491897</v>
      </c>
      <c r="N45" s="31">
        <f>$C$14*(1+$C$8)^11</f>
        <v>-67948.125988601663</v>
      </c>
      <c r="O45" s="31">
        <f t="shared" si="2"/>
        <v>-795706.42299703276</v>
      </c>
      <c r="Q45" s="176"/>
    </row>
    <row r="46" spans="1:24" ht="15.75" customHeight="1">
      <c r="B46" s="35" t="s">
        <v>16</v>
      </c>
      <c r="C46" s="36">
        <f t="shared" ref="C46:N46" si="17">C44+C45</f>
        <v>15574.822661289232</v>
      </c>
      <c r="D46" s="36">
        <f t="shared" si="17"/>
        <v>82342.924938491167</v>
      </c>
      <c r="E46" s="36">
        <f t="shared" si="17"/>
        <v>83676.595013545899</v>
      </c>
      <c r="F46" s="36">
        <f>F44+F45</f>
        <v>3165.4592453663645</v>
      </c>
      <c r="G46" s="36">
        <f t="shared" si="17"/>
        <v>83900.155776845248</v>
      </c>
      <c r="H46" s="36">
        <f t="shared" si="17"/>
        <v>75025.734476483529</v>
      </c>
      <c r="I46" s="36">
        <f t="shared" si="17"/>
        <v>24740.1402688245</v>
      </c>
      <c r="J46" s="36">
        <f t="shared" si="17"/>
        <v>58534.278467394921</v>
      </c>
      <c r="K46" s="36">
        <f t="shared" si="17"/>
        <v>58235.809476009395</v>
      </c>
      <c r="L46" s="36">
        <f t="shared" si="17"/>
        <v>12737.415782979122</v>
      </c>
      <c r="M46" s="36">
        <f t="shared" si="17"/>
        <v>57634.861534628493</v>
      </c>
      <c r="N46" s="36">
        <f t="shared" si="17"/>
        <v>57332.370621518727</v>
      </c>
      <c r="O46" s="37">
        <f t="shared" si="2"/>
        <v>612900.5682633766</v>
      </c>
      <c r="Q46" s="176"/>
    </row>
    <row r="47" spans="1:24" ht="15.75" customHeight="1">
      <c r="B47" s="30" t="s">
        <v>17</v>
      </c>
      <c r="C47" s="31">
        <f>$C$15*(1+$C$8)^0</f>
        <v>-23355.479999999996</v>
      </c>
      <c r="D47" s="31">
        <f>$C$15*(1+$C$8)^1</f>
        <v>-23459.918674623015</v>
      </c>
      <c r="E47" s="31">
        <f>$C$15*(1+$C$8)^2</f>
        <v>-23564.824367554244</v>
      </c>
      <c r="F47" s="31">
        <f>$C$15*(1+$C$8)^3</f>
        <v>-23670.199167158946</v>
      </c>
      <c r="G47" s="31">
        <f>$C$15*(1+$C$8)^4</f>
        <v>-23776.045171140919</v>
      </c>
      <c r="H47" s="31">
        <f>$C$15*(1+$C$8)^5</f>
        <v>-23882.364486584276</v>
      </c>
      <c r="I47" s="31">
        <f>$C$15*(1+$C$8)^6</f>
        <v>-23989.159229995359</v>
      </c>
      <c r="J47" s="31">
        <f>$C$15*(1+$C$8)^7</f>
        <v>-24096.431527344906</v>
      </c>
      <c r="K47" s="31">
        <f>$C$15*(1+$C$8)^8</f>
        <v>-24204.183514110329</v>
      </c>
      <c r="L47" s="31">
        <f>$C$15*(1+$C$8)^9</f>
        <v>-24312.417335318292</v>
      </c>
      <c r="M47" s="31">
        <f>$C$15*(1+$C$8)^10</f>
        <v>-24421.135145587326</v>
      </c>
      <c r="N47" s="31">
        <f>$C$15*(1+$C$8)^11</f>
        <v>-24530.339109170811</v>
      </c>
      <c r="O47" s="31">
        <f t="shared" si="2"/>
        <v>-287262.49772858847</v>
      </c>
      <c r="Q47" s="176"/>
      <c r="S47" s="47"/>
    </row>
    <row r="48" spans="1:24" ht="15.75" customHeight="1">
      <c r="B48" s="35" t="s">
        <v>18</v>
      </c>
      <c r="C48" s="36">
        <f t="shared" ref="C48:N48" si="18">C46+C47</f>
        <v>-7780.6573387107637</v>
      </c>
      <c r="D48" s="36">
        <f t="shared" si="18"/>
        <v>58883.006263868156</v>
      </c>
      <c r="E48" s="36">
        <f t="shared" si="18"/>
        <v>60111.770645991652</v>
      </c>
      <c r="F48" s="36">
        <f>F46+F47</f>
        <v>-20504.739921792581</v>
      </c>
      <c r="G48" s="36">
        <f t="shared" si="18"/>
        <v>60124.110605704329</v>
      </c>
      <c r="H48" s="36">
        <f t="shared" si="18"/>
        <v>51143.369989899249</v>
      </c>
      <c r="I48" s="36">
        <f t="shared" si="18"/>
        <v>750.98103882914074</v>
      </c>
      <c r="J48" s="36">
        <f t="shared" si="18"/>
        <v>34437.846940050018</v>
      </c>
      <c r="K48" s="36">
        <f t="shared" si="18"/>
        <v>34031.625961899066</v>
      </c>
      <c r="L48" s="36">
        <f t="shared" si="18"/>
        <v>-11575.00155233917</v>
      </c>
      <c r="M48" s="36">
        <f t="shared" si="18"/>
        <v>33213.72638904117</v>
      </c>
      <c r="N48" s="36">
        <f t="shared" si="18"/>
        <v>32802.031512347916</v>
      </c>
      <c r="O48" s="37">
        <f>SUM(C48:N48)</f>
        <v>325638.07053478819</v>
      </c>
      <c r="Q48" s="176"/>
    </row>
    <row r="49" spans="2:17" ht="15.75" customHeight="1">
      <c r="B49" s="38" t="s">
        <v>77</v>
      </c>
      <c r="C49" s="33">
        <f>C31*$C$16</f>
        <v>-1117.0361134125562</v>
      </c>
      <c r="D49" s="33">
        <f t="shared" ref="D49:N49" si="19">D31*$C$16</f>
        <v>-1160.1901365451872</v>
      </c>
      <c r="E49" s="33">
        <f t="shared" si="19"/>
        <v>-1175.2994848102685</v>
      </c>
      <c r="F49" s="33">
        <f t="shared" si="19"/>
        <v>-1046.8216664363272</v>
      </c>
      <c r="G49" s="33">
        <f t="shared" si="19"/>
        <v>-1182.8216664363272</v>
      </c>
      <c r="H49" s="33">
        <f t="shared" si="19"/>
        <v>-1103.0084501089284</v>
      </c>
      <c r="I49" s="33">
        <f t="shared" si="19"/>
        <v>-1103.0084501089284</v>
      </c>
      <c r="J49" s="33">
        <f t="shared" si="19"/>
        <v>-955.11544288484095</v>
      </c>
      <c r="K49" s="33">
        <f t="shared" si="19"/>
        <v>-955.11544288484095</v>
      </c>
      <c r="L49" s="33">
        <f t="shared" si="19"/>
        <v>-955.11544288484095</v>
      </c>
      <c r="M49" s="33">
        <f t="shared" si="19"/>
        <v>-955.11544288484095</v>
      </c>
      <c r="N49" s="33">
        <f t="shared" si="19"/>
        <v>-955.11544288484095</v>
      </c>
      <c r="O49" s="34">
        <f t="shared" si="2"/>
        <v>-12663.763182282726</v>
      </c>
      <c r="Q49" s="176"/>
    </row>
    <row r="50" spans="2:17" ht="15.75" customHeight="1">
      <c r="B50" s="38" t="s">
        <v>78</v>
      </c>
      <c r="C50" s="33">
        <f t="shared" ref="C50:N50" si="20">$C$18</f>
        <v>0</v>
      </c>
      <c r="D50" s="33">
        <f t="shared" si="20"/>
        <v>0</v>
      </c>
      <c r="E50" s="33">
        <f t="shared" si="20"/>
        <v>0</v>
      </c>
      <c r="F50" s="33">
        <f t="shared" si="20"/>
        <v>0</v>
      </c>
      <c r="G50" s="33">
        <f t="shared" si="20"/>
        <v>0</v>
      </c>
      <c r="H50" s="33">
        <f t="shared" si="20"/>
        <v>0</v>
      </c>
      <c r="I50" s="33">
        <f t="shared" si="20"/>
        <v>0</v>
      </c>
      <c r="J50" s="33">
        <f t="shared" si="20"/>
        <v>0</v>
      </c>
      <c r="K50" s="33">
        <f t="shared" si="20"/>
        <v>0</v>
      </c>
      <c r="L50" s="33">
        <f t="shared" si="20"/>
        <v>0</v>
      </c>
      <c r="M50" s="33">
        <f t="shared" si="20"/>
        <v>0</v>
      </c>
      <c r="N50" s="33">
        <f t="shared" si="20"/>
        <v>0</v>
      </c>
      <c r="O50" s="34">
        <f t="shared" si="2"/>
        <v>0</v>
      </c>
      <c r="Q50" s="176"/>
    </row>
    <row r="51" spans="2:17" ht="15.75" customHeight="1">
      <c r="B51" s="35" t="s">
        <v>21</v>
      </c>
      <c r="C51" s="36">
        <f>C48+C49+C50</f>
        <v>-8897.6934521233197</v>
      </c>
      <c r="D51" s="36">
        <f t="shared" ref="D51:N51" si="21">D48+D49+D50</f>
        <v>57722.816127322971</v>
      </c>
      <c r="E51" s="36">
        <f t="shared" si="21"/>
        <v>58936.471161181384</v>
      </c>
      <c r="F51" s="36">
        <f>F48+F49+F50</f>
        <v>-21551.561588228909</v>
      </c>
      <c r="G51" s="36">
        <f t="shared" si="21"/>
        <v>58941.288939268001</v>
      </c>
      <c r="H51" s="36">
        <f t="shared" si="21"/>
        <v>50040.36153979032</v>
      </c>
      <c r="I51" s="36">
        <f t="shared" si="21"/>
        <v>-352.02741127978766</v>
      </c>
      <c r="J51" s="36">
        <f t="shared" si="21"/>
        <v>33482.731497165179</v>
      </c>
      <c r="K51" s="36">
        <f t="shared" si="21"/>
        <v>33076.510519014228</v>
      </c>
      <c r="L51" s="36">
        <f t="shared" si="21"/>
        <v>-12530.116995224011</v>
      </c>
      <c r="M51" s="36">
        <f t="shared" si="21"/>
        <v>32258.610946156328</v>
      </c>
      <c r="N51" s="36">
        <f t="shared" si="21"/>
        <v>31846.916069463074</v>
      </c>
      <c r="O51" s="37">
        <f t="shared" si="2"/>
        <v>312974.30735250545</v>
      </c>
      <c r="Q51" s="176"/>
    </row>
    <row r="52" spans="2:17" ht="15.75" customHeight="1">
      <c r="B52" s="30" t="s">
        <v>79</v>
      </c>
      <c r="C52" s="31">
        <f>C31*$C$17</f>
        <v>-10968.539668533987</v>
      </c>
      <c r="D52" s="31">
        <f>D31*$C$17</f>
        <v>-11392.283009419401</v>
      </c>
      <c r="E52" s="31">
        <f t="shared" ref="E52:N52" si="22">E31*$C$17</f>
        <v>-11540.646597508725</v>
      </c>
      <c r="F52" s="31">
        <f t="shared" si="22"/>
        <v>-10279.081254687249</v>
      </c>
      <c r="G52" s="31">
        <f t="shared" si="22"/>
        <v>-11614.509337100269</v>
      </c>
      <c r="H52" s="31">
        <f t="shared" si="22"/>
        <v>-10830.79749569355</v>
      </c>
      <c r="I52" s="31">
        <f t="shared" si="22"/>
        <v>-10830.79749569355</v>
      </c>
      <c r="J52" s="31">
        <f t="shared" si="22"/>
        <v>-9378.5881204026828</v>
      </c>
      <c r="K52" s="31">
        <f t="shared" si="22"/>
        <v>-9378.5881204026828</v>
      </c>
      <c r="L52" s="31">
        <f t="shared" si="22"/>
        <v>-9378.5881204026828</v>
      </c>
      <c r="M52" s="31">
        <f t="shared" si="22"/>
        <v>-9378.5881204026828</v>
      </c>
      <c r="N52" s="31">
        <f t="shared" si="22"/>
        <v>-9378.5881204026828</v>
      </c>
      <c r="O52" s="31">
        <f t="shared" si="2"/>
        <v>-124349.59546065013</v>
      </c>
      <c r="Q52" s="176"/>
    </row>
    <row r="53" spans="2:17" ht="15.75" customHeight="1">
      <c r="B53" s="39" t="s">
        <v>23</v>
      </c>
      <c r="C53" s="40">
        <f>C51+C52</f>
        <v>-19866.233120657307</v>
      </c>
      <c r="D53" s="40">
        <f t="shared" ref="D53:N53" si="23">D51+D52</f>
        <v>46330.533117903571</v>
      </c>
      <c r="E53" s="40">
        <f t="shared" si="23"/>
        <v>47395.824563672657</v>
      </c>
      <c r="F53" s="40">
        <f>F51+F52</f>
        <v>-31830.642842916161</v>
      </c>
      <c r="G53" s="40">
        <f t="shared" si="23"/>
        <v>47326.779602167735</v>
      </c>
      <c r="H53" s="40">
        <f t="shared" si="23"/>
        <v>39209.564044096769</v>
      </c>
      <c r="I53" s="40">
        <f t="shared" si="23"/>
        <v>-11182.824906973337</v>
      </c>
      <c r="J53" s="40">
        <f t="shared" si="23"/>
        <v>24104.143376762499</v>
      </c>
      <c r="K53" s="40">
        <f t="shared" si="23"/>
        <v>23697.922398611547</v>
      </c>
      <c r="L53" s="40">
        <f t="shared" si="23"/>
        <v>-21908.705115626693</v>
      </c>
      <c r="M53" s="40">
        <f t="shared" si="23"/>
        <v>22880.022825753644</v>
      </c>
      <c r="N53" s="40">
        <f t="shared" si="23"/>
        <v>22468.327949060389</v>
      </c>
      <c r="O53" s="37">
        <f t="shared" si="2"/>
        <v>188624.71189185532</v>
      </c>
      <c r="Q53" s="176"/>
    </row>
    <row r="54" spans="2:17">
      <c r="Q54" s="176"/>
    </row>
    <row r="55" spans="2:17" ht="18" customHeight="1">
      <c r="B55" s="383" t="s">
        <v>80</v>
      </c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Q55" s="176"/>
    </row>
    <row r="56" spans="2:17" ht="18" customHeight="1">
      <c r="B56" s="24" t="s">
        <v>81</v>
      </c>
      <c r="C56" s="24" t="s">
        <v>59</v>
      </c>
      <c r="D56" s="24" t="s">
        <v>60</v>
      </c>
      <c r="E56" s="24" t="s">
        <v>61</v>
      </c>
      <c r="F56" s="24" t="s">
        <v>62</v>
      </c>
      <c r="G56" s="25" t="s">
        <v>63</v>
      </c>
      <c r="H56" s="25" t="s">
        <v>64</v>
      </c>
      <c r="I56" s="25" t="s">
        <v>65</v>
      </c>
      <c r="J56" s="25" t="s">
        <v>66</v>
      </c>
      <c r="K56" s="25" t="s">
        <v>67</v>
      </c>
      <c r="L56" s="25" t="s">
        <v>68</v>
      </c>
      <c r="M56" s="25" t="s">
        <v>69</v>
      </c>
      <c r="N56" s="25" t="s">
        <v>70</v>
      </c>
      <c r="O56" s="24" t="s">
        <v>71</v>
      </c>
      <c r="Q56" s="176"/>
    </row>
    <row r="57" spans="2:17" ht="15" customHeight="1">
      <c r="B57" s="41" t="s">
        <v>82</v>
      </c>
      <c r="C57" s="157">
        <f t="shared" ref="C57:N57" si="24">C31+C41+C42+C43+C45+C47</f>
        <v>93733.942661289242</v>
      </c>
      <c r="D57" s="157">
        <f t="shared" si="24"/>
        <v>99489.661042949738</v>
      </c>
      <c r="E57" s="157">
        <f>E31+E41+E42+E43+E45+E47</f>
        <v>101247.25261435106</v>
      </c>
      <c r="F57" s="157">
        <f t="shared" si="24"/>
        <v>67921.904424999055</v>
      </c>
      <c r="G57" s="157">
        <f t="shared" si="24"/>
        <v>101522.86893097582</v>
      </c>
      <c r="H57" s="157">
        <f t="shared" si="24"/>
        <v>89748.665743711754</v>
      </c>
      <c r="I57" s="157">
        <f t="shared" si="24"/>
        <v>89346.053537365398</v>
      </c>
      <c r="J57" s="157">
        <f t="shared" si="24"/>
        <v>67866.887441019455</v>
      </c>
      <c r="K57" s="157">
        <f t="shared" si="24"/>
        <v>67460.66646286851</v>
      </c>
      <c r="L57" s="157">
        <f t="shared" si="24"/>
        <v>67052.628986809432</v>
      </c>
      <c r="M57" s="157">
        <f t="shared" si="24"/>
        <v>66642.766890010607</v>
      </c>
      <c r="N57" s="157">
        <f t="shared" si="24"/>
        <v>66231.072013317345</v>
      </c>
      <c r="O57" s="157">
        <f>SUM(C57:N57)</f>
        <v>978264.37074966729</v>
      </c>
      <c r="Q57" s="176"/>
    </row>
    <row r="58" spans="2:17" ht="15" customHeight="1">
      <c r="B58" s="41" t="s">
        <v>31</v>
      </c>
      <c r="C58" s="42">
        <f t="shared" ref="C58:N58" si="25">IFERROR(C57/C31,0)</f>
        <v>0.33565232685246366</v>
      </c>
      <c r="D58" s="42">
        <f t="shared" si="25"/>
        <v>0.34301157339334032</v>
      </c>
      <c r="E58" s="42">
        <f t="shared" si="25"/>
        <v>0.34458367053805239</v>
      </c>
      <c r="F58" s="42">
        <f t="shared" si="25"/>
        <v>0.25953572266506159</v>
      </c>
      <c r="G58" s="42">
        <f t="shared" si="25"/>
        <v>0.34332434655800559</v>
      </c>
      <c r="H58" s="42">
        <f t="shared" si="25"/>
        <v>0.32546864254702151</v>
      </c>
      <c r="I58" s="42">
        <f t="shared" si="25"/>
        <v>0.32400859133415333</v>
      </c>
      <c r="J58" s="42">
        <f t="shared" si="25"/>
        <v>0.28422485657245194</v>
      </c>
      <c r="K58" s="42">
        <f t="shared" si="25"/>
        <v>0.28252361310004409</v>
      </c>
      <c r="L58" s="42">
        <f t="shared" si="25"/>
        <v>0.28081476217904278</v>
      </c>
      <c r="M58" s="42">
        <f t="shared" si="25"/>
        <v>0.27909826979122893</v>
      </c>
      <c r="N58" s="42">
        <f t="shared" si="25"/>
        <v>0.2773741017662632</v>
      </c>
      <c r="O58" s="42">
        <f>AVERAGE(C58:N58)</f>
        <v>0.30663503977476075</v>
      </c>
      <c r="Q58" s="176"/>
    </row>
    <row r="59" spans="2:17" ht="15" customHeight="1">
      <c r="B59" s="41" t="s">
        <v>32</v>
      </c>
      <c r="C59" s="42">
        <f t="shared" ref="C59:N59" si="26">IFERROR(C46/C31,0)</f>
        <v>5.57719575017427E-2</v>
      </c>
      <c r="D59" s="42">
        <f t="shared" si="26"/>
        <v>0.28389458708446474</v>
      </c>
      <c r="E59" s="42">
        <f t="shared" si="26"/>
        <v>0.28478390774434492</v>
      </c>
      <c r="F59" s="42">
        <f t="shared" si="26"/>
        <v>1.2095505268409166E-2</v>
      </c>
      <c r="G59" s="42">
        <f t="shared" si="26"/>
        <v>0.28372884318098246</v>
      </c>
      <c r="H59" s="42">
        <f t="shared" si="26"/>
        <v>0.27207673511141028</v>
      </c>
      <c r="I59" s="42">
        <f t="shared" si="26"/>
        <v>8.9718769666293205E-2</v>
      </c>
      <c r="J59" s="42">
        <f t="shared" si="26"/>
        <v>0.24514011956752521</v>
      </c>
      <c r="K59" s="42">
        <f t="shared" si="26"/>
        <v>0.24389013876736548</v>
      </c>
      <c r="L59" s="42">
        <f t="shared" si="26"/>
        <v>5.3343984239253406E-2</v>
      </c>
      <c r="M59" s="42">
        <f t="shared" si="26"/>
        <v>0.24137338355894464</v>
      </c>
      <c r="N59" s="42">
        <f t="shared" si="26"/>
        <v>0.24010655904945447</v>
      </c>
      <c r="O59" s="42">
        <f>AVERAGE(C59:N59)</f>
        <v>0.19216037422834922</v>
      </c>
      <c r="Q59" s="176"/>
    </row>
    <row r="60" spans="2:17" ht="15" customHeight="1">
      <c r="B60" s="41" t="s">
        <v>83</v>
      </c>
      <c r="C60" s="42">
        <f t="shared" ref="C60:N60" si="27">IFERROR(C51/C31,0)</f>
        <v>-3.18617933486171E-2</v>
      </c>
      <c r="D60" s="42">
        <f t="shared" si="27"/>
        <v>0.19901157339334019</v>
      </c>
      <c r="E60" s="42">
        <f t="shared" si="27"/>
        <v>0.20058367053805232</v>
      </c>
      <c r="F60" s="42">
        <f t="shared" si="27"/>
        <v>-8.235046055780039E-2</v>
      </c>
      <c r="G60" s="42">
        <f t="shared" si="27"/>
        <v>0.19932434655800546</v>
      </c>
      <c r="H60" s="42">
        <f t="shared" si="27"/>
        <v>0.18146864254702147</v>
      </c>
      <c r="I60" s="42">
        <f t="shared" si="27"/>
        <v>-1.2766082118229392E-3</v>
      </c>
      <c r="J60" s="42">
        <f t="shared" si="27"/>
        <v>0.14022485657245193</v>
      </c>
      <c r="K60" s="42">
        <f t="shared" si="27"/>
        <v>0.13852361310004405</v>
      </c>
      <c r="L60" s="42">
        <f t="shared" si="27"/>
        <v>-5.2475822011119042E-2</v>
      </c>
      <c r="M60" s="42">
        <f t="shared" si="27"/>
        <v>0.13509826979122891</v>
      </c>
      <c r="N60" s="42">
        <f t="shared" si="27"/>
        <v>0.13337410176626319</v>
      </c>
      <c r="O60" s="42">
        <f>AVERAGE(C60:N60)</f>
        <v>9.6637032511420681E-2</v>
      </c>
      <c r="Q60" s="176"/>
    </row>
    <row r="61" spans="2:17" ht="15" customHeight="1" thickBot="1">
      <c r="B61" s="164" t="s">
        <v>34</v>
      </c>
      <c r="C61" s="165">
        <f t="shared" ref="C61:N61" si="28">IFERROR(C53/C31,0)</f>
        <v>-7.1139089890176505E-2</v>
      </c>
      <c r="D61" s="165">
        <f t="shared" si="28"/>
        <v>0.15973427685178079</v>
      </c>
      <c r="E61" s="165">
        <f t="shared" si="28"/>
        <v>0.16130637399649292</v>
      </c>
      <c r="F61" s="165">
        <f t="shared" si="28"/>
        <v>-0.1216277570993598</v>
      </c>
      <c r="G61" s="165">
        <f t="shared" si="28"/>
        <v>0.16004705001644606</v>
      </c>
      <c r="H61" s="165">
        <f t="shared" si="28"/>
        <v>0.14219134600546207</v>
      </c>
      <c r="I61" s="165">
        <f t="shared" si="28"/>
        <v>-4.055390475338233E-2</v>
      </c>
      <c r="J61" s="165">
        <f t="shared" si="28"/>
        <v>0.10094756003089254</v>
      </c>
      <c r="K61" s="165">
        <f t="shared" si="28"/>
        <v>9.9246316558484649E-2</v>
      </c>
      <c r="L61" s="165">
        <f t="shared" si="28"/>
        <v>-9.1753118552678439E-2</v>
      </c>
      <c r="M61" s="165">
        <f t="shared" si="28"/>
        <v>9.5820973249669497E-2</v>
      </c>
      <c r="N61" s="165">
        <f t="shared" si="28"/>
        <v>9.4096805224703775E-2</v>
      </c>
      <c r="O61" s="165">
        <f>AVERAGE(C61:N61)</f>
        <v>5.7359735969861277E-2</v>
      </c>
      <c r="Q61" s="176"/>
    </row>
    <row r="62" spans="2:17" ht="16" thickTop="1">
      <c r="Q62" s="176"/>
    </row>
    <row r="63" spans="2:17" ht="18" customHeight="1">
      <c r="B63" s="383" t="s">
        <v>84</v>
      </c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Q63" s="176"/>
    </row>
    <row r="64" spans="2:17">
      <c r="B64" s="380" t="s">
        <v>85</v>
      </c>
      <c r="C64" s="380"/>
      <c r="D64" s="380"/>
      <c r="E64" s="380"/>
      <c r="F64" s="380"/>
      <c r="G64" s="380"/>
      <c r="H64" s="380"/>
      <c r="I64" s="380"/>
      <c r="J64" s="380"/>
      <c r="K64" s="380"/>
      <c r="L64" s="380"/>
      <c r="M64" s="380"/>
      <c r="N64" s="380"/>
      <c r="O64" s="380"/>
      <c r="Q64" s="176"/>
    </row>
    <row r="65" spans="2:17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76"/>
    </row>
    <row r="66" spans="2:17">
      <c r="B66" s="381" t="s">
        <v>371</v>
      </c>
      <c r="C66" s="381"/>
      <c r="D66" s="381"/>
      <c r="E66" s="381"/>
      <c r="F66" s="381"/>
      <c r="G66" s="381"/>
      <c r="H66" s="381"/>
      <c r="I66" s="381"/>
      <c r="J66" s="381"/>
      <c r="K66" s="381"/>
      <c r="L66" s="381"/>
      <c r="M66" s="381"/>
      <c r="N66" s="381"/>
      <c r="O66" s="381"/>
      <c r="P66" s="381"/>
      <c r="Q66" s="381"/>
    </row>
    <row r="67" spans="2:17">
      <c r="B67" s="149"/>
      <c r="C67" s="43" t="s">
        <v>59</v>
      </c>
      <c r="D67" s="43" t="s">
        <v>60</v>
      </c>
      <c r="E67" s="43" t="s">
        <v>61</v>
      </c>
      <c r="F67" s="43" t="s">
        <v>62</v>
      </c>
      <c r="G67" s="43" t="s">
        <v>63</v>
      </c>
      <c r="H67" s="43" t="s">
        <v>64</v>
      </c>
      <c r="I67" s="43" t="s">
        <v>65</v>
      </c>
      <c r="J67" s="43" t="s">
        <v>66</v>
      </c>
      <c r="K67" s="43" t="s">
        <v>67</v>
      </c>
      <c r="L67" s="43" t="s">
        <v>68</v>
      </c>
      <c r="M67" s="43" t="s">
        <v>69</v>
      </c>
      <c r="N67" s="43" t="s">
        <v>70</v>
      </c>
      <c r="O67" s="43" t="s">
        <v>87</v>
      </c>
      <c r="Q67" s="180" t="str">
        <f>$C$73&amp;" - "&amp;$G$73</f>
        <v>Jan/26 - Mai/26</v>
      </c>
    </row>
    <row r="68" spans="2:17">
      <c r="B68" s="150" t="s">
        <v>88</v>
      </c>
      <c r="C68" s="151">
        <f>J5+J8</f>
        <v>298333333.33333331</v>
      </c>
      <c r="D68" s="151">
        <f>C68+$J$8</f>
        <v>296666666.66666663</v>
      </c>
      <c r="E68" s="151">
        <f t="shared" ref="E68:N68" si="29">D68+$J$8</f>
        <v>294999999.99999994</v>
      </c>
      <c r="F68" s="151">
        <f t="shared" si="29"/>
        <v>293333333.33333325</v>
      </c>
      <c r="G68" s="151">
        <f t="shared" si="29"/>
        <v>291666666.66666657</v>
      </c>
      <c r="H68" s="151">
        <f t="shared" si="29"/>
        <v>289999999.99999988</v>
      </c>
      <c r="I68" s="151">
        <f t="shared" si="29"/>
        <v>288333333.33333319</v>
      </c>
      <c r="J68" s="151">
        <f t="shared" si="29"/>
        <v>286666666.66666651</v>
      </c>
      <c r="K68" s="151">
        <f t="shared" si="29"/>
        <v>284999999.99999982</v>
      </c>
      <c r="L68" s="151">
        <f t="shared" si="29"/>
        <v>283333333.33333313</v>
      </c>
      <c r="M68" s="151">
        <f t="shared" si="29"/>
        <v>281666666.66666645</v>
      </c>
      <c r="N68" s="151">
        <f t="shared" si="29"/>
        <v>279999999.99999976</v>
      </c>
      <c r="O68" s="152">
        <f>N68</f>
        <v>279999999.99999976</v>
      </c>
      <c r="Q68" s="181">
        <f>SUM(C68:G68)</f>
        <v>1474999999.9999998</v>
      </c>
    </row>
    <row r="69" spans="2:17">
      <c r="B69" s="153" t="s">
        <v>89</v>
      </c>
      <c r="C69" s="154">
        <f>IF(OR(Consolidated!E4=0,Consolidated!E4=""),"",Consolidated!E4)</f>
        <v>290504767</v>
      </c>
      <c r="D69" s="154">
        <f>IF(OR(Consolidated!F4=0,Consolidated!F4=""),"",Consolidated!F4)</f>
        <v>304511145</v>
      </c>
      <c r="E69" s="154">
        <f>IF(OR(Consolidated!G4=0,Consolidated!G4=""),"",Consolidated!G4)</f>
        <v>309415143</v>
      </c>
      <c r="F69" s="154">
        <f>IF(OR(Consolidated!H4=0,Consolidated!H4=""),"",Consolidated!H4)</f>
        <v>311856596</v>
      </c>
      <c r="G69" s="154">
        <f>IF(OR(Consolidated!I4=0,Consolidated!I4=""),"",Consolidated!I4)</f>
        <v>312069591</v>
      </c>
      <c r="H69" s="154">
        <f>IF(OR(Consolidated!J4=0,Consolidated!J4=""),"",Consolidated!J4)</f>
        <v>295791970</v>
      </c>
      <c r="I69" s="154">
        <f>IF(OR(Consolidated!K4=0,Consolidated!K4=""),"",Consolidated!K4)</f>
        <v>254401486</v>
      </c>
      <c r="J69" s="154" t="str">
        <f>IF(OR(Consolidated!L4=0,Consolidated!L4=""),"",Consolidated!L4)</f>
        <v/>
      </c>
      <c r="K69" s="154" t="str">
        <f>IF(OR(Consolidated!M4=0,Consolidated!M4=""),"",Consolidated!M4)</f>
        <v/>
      </c>
      <c r="L69" s="154" t="str">
        <f>IF(OR(Consolidated!N4=0,Consolidated!N4=""),"",Consolidated!N4)</f>
        <v/>
      </c>
      <c r="M69" s="154" t="str">
        <f>IF(OR(Consolidated!O4=0,Consolidated!O4=""),"",Consolidated!O4)</f>
        <v/>
      </c>
      <c r="N69" s="154" t="str">
        <f>IF(OR(Consolidated!P4=0,Consolidated!P4=""),"",Consolidated!P4)</f>
        <v/>
      </c>
      <c r="O69" s="155" cm="1">
        <f t="array" ref="O69">INDEX(C69:N69,1,MAX((C69:N69&lt;&gt;0)*(C69:N69&lt;&gt;"")*COLUMN(C69:N69))-COLUMN(C69)+1)</f>
        <v>254401486</v>
      </c>
      <c r="Q69" s="182">
        <f>SUM(C69:G69)</f>
        <v>1528357242</v>
      </c>
    </row>
    <row r="70" spans="2:17">
      <c r="B70" s="156" t="s">
        <v>90</v>
      </c>
      <c r="C70" s="44">
        <f t="shared" ref="C70" si="30">IFERROR(IF(C69="","",(C69-C68)/ABS(C68)),"—")</f>
        <v>-2.6241004469273677E-2</v>
      </c>
      <c r="D70" s="44">
        <f t="shared" ref="D70" si="31">IFERROR(IF(D69="","",(D69-D68)/ABS(D68)),"—")</f>
        <v>2.6442061797752946E-2</v>
      </c>
      <c r="E70" s="44">
        <f t="shared" ref="E70" si="32">IFERROR(IF(E69="","",(E69-E68)/ABS(E68)),"—")</f>
        <v>4.8864891525423941E-2</v>
      </c>
      <c r="F70" s="44">
        <f t="shared" ref="F70" si="33">IFERROR(IF(F69="","",(F69-F68)/ABS(F68)),"—")</f>
        <v>6.3147486363636651E-2</v>
      </c>
      <c r="G70" s="44">
        <f t="shared" ref="G70" si="34">IFERROR(IF(G69="","",(G69-G68)/ABS(G68)),"—")</f>
        <v>6.9952883428571797E-2</v>
      </c>
      <c r="H70" s="44">
        <f t="shared" ref="H70" si="35">IFERROR(IF(H69="","",(H69-H68)/ABS(H68)),"—")</f>
        <v>1.9972310344828006E-2</v>
      </c>
      <c r="I70" s="44">
        <f t="shared" ref="I70" si="36">IFERROR(IF(I69="","",(I69-I68)/ABS(I68)),"—")</f>
        <v>-0.11768270751445044</v>
      </c>
      <c r="J70" s="44" t="str">
        <f t="shared" ref="J70" si="37">IFERROR(IF(J69="","",(J69-J68)/ABS(J68)),"—")</f>
        <v/>
      </c>
      <c r="K70" s="44" t="str">
        <f t="shared" ref="K70" si="38">IFERROR(IF(K69="","",(K69-K68)/ABS(K68)),"—")</f>
        <v/>
      </c>
      <c r="L70" s="44" t="str">
        <f t="shared" ref="L70" si="39">IFERROR(IF(L69="","",(L69-L68)/ABS(L68)),"—")</f>
        <v/>
      </c>
      <c r="M70" s="44" t="str">
        <f t="shared" ref="M70" si="40">IFERROR(IF(M69="","",(M69-M68)/ABS(M68)),"—")</f>
        <v/>
      </c>
      <c r="N70" s="44" t="str">
        <f t="shared" ref="N70" si="41">IFERROR(IF(N69="","",(N69-N68)/ABS(N68)),"—")</f>
        <v/>
      </c>
      <c r="O70" s="45">
        <f>IFERROR(IF(O69=0,"",(O69-O68)/ABS(O68)),"—")</f>
        <v>-9.1423264285713512E-2</v>
      </c>
      <c r="Q70" s="183">
        <f>IFERROR(IF(Q69=0,"",(Q69-Q68)/ABS(Q68)),"—")</f>
        <v>3.6174401355932369E-2</v>
      </c>
    </row>
    <row r="71" spans="2:17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76"/>
    </row>
    <row r="72" spans="2:17" ht="16.5" customHeight="1">
      <c r="B72" s="381" t="s">
        <v>86</v>
      </c>
      <c r="C72" s="381"/>
      <c r="D72" s="381"/>
      <c r="E72" s="381"/>
      <c r="F72" s="381"/>
      <c r="G72" s="381"/>
      <c r="H72" s="381"/>
      <c r="I72" s="381"/>
      <c r="J72" s="381"/>
      <c r="K72" s="381"/>
      <c r="L72" s="381"/>
      <c r="M72" s="381"/>
      <c r="N72" s="381"/>
      <c r="O72" s="381"/>
      <c r="P72" s="381"/>
      <c r="Q72" s="381"/>
    </row>
    <row r="73" spans="2:17" ht="13.5" customHeight="1">
      <c r="B73" s="149"/>
      <c r="C73" s="43" t="s">
        <v>59</v>
      </c>
      <c r="D73" s="43" t="s">
        <v>60</v>
      </c>
      <c r="E73" s="43" t="s">
        <v>61</v>
      </c>
      <c r="F73" s="43" t="s">
        <v>62</v>
      </c>
      <c r="G73" s="43" t="s">
        <v>63</v>
      </c>
      <c r="H73" s="43" t="s">
        <v>64</v>
      </c>
      <c r="I73" s="43" t="s">
        <v>65</v>
      </c>
      <c r="J73" s="43" t="s">
        <v>66</v>
      </c>
      <c r="K73" s="43" t="s">
        <v>67</v>
      </c>
      <c r="L73" s="43" t="s">
        <v>68</v>
      </c>
      <c r="M73" s="43" t="s">
        <v>69</v>
      </c>
      <c r="N73" s="43" t="s">
        <v>70</v>
      </c>
      <c r="O73" s="43" t="s">
        <v>87</v>
      </c>
      <c r="Q73" s="180" t="str">
        <f>$C$73&amp;" - "&amp;$G$73</f>
        <v>Jan/26 - Mai/26</v>
      </c>
    </row>
    <row r="74" spans="2:17" ht="15" customHeight="1">
      <c r="B74" s="150" t="s">
        <v>88</v>
      </c>
      <c r="C74" s="151">
        <f t="shared" ref="C74:O74" si="42">C31</f>
        <v>279259.02835313906</v>
      </c>
      <c r="D74" s="151">
        <f t="shared" si="42"/>
        <v>290047.53413629677</v>
      </c>
      <c r="E74" s="151">
        <f t="shared" si="42"/>
        <v>293824.87120256713</v>
      </c>
      <c r="F74" s="151">
        <f t="shared" si="42"/>
        <v>261705.41660908179</v>
      </c>
      <c r="G74" s="151">
        <f t="shared" si="42"/>
        <v>295705.41660908179</v>
      </c>
      <c r="H74" s="151">
        <f t="shared" si="42"/>
        <v>275752.11252723209</v>
      </c>
      <c r="I74" s="151">
        <f t="shared" si="42"/>
        <v>275752.11252723209</v>
      </c>
      <c r="J74" s="151">
        <f t="shared" si="42"/>
        <v>238778.86072121022</v>
      </c>
      <c r="K74" s="151">
        <f t="shared" si="42"/>
        <v>238778.86072121022</v>
      </c>
      <c r="L74" s="151">
        <f t="shared" si="42"/>
        <v>238778.86072121022</v>
      </c>
      <c r="M74" s="151">
        <f t="shared" si="42"/>
        <v>238778.86072121022</v>
      </c>
      <c r="N74" s="151">
        <f t="shared" si="42"/>
        <v>238778.86072121022</v>
      </c>
      <c r="O74" s="152">
        <f t="shared" si="42"/>
        <v>3165940.7955706809</v>
      </c>
      <c r="Q74" s="181">
        <f>SUM(C74:G74)</f>
        <v>1420542.2669101665</v>
      </c>
    </row>
    <row r="75" spans="2:17" ht="15" customHeight="1">
      <c r="B75" s="153" t="s">
        <v>89</v>
      </c>
      <c r="C75" s="154">
        <f>IF(OR(Consolidated!E7=0,Consolidated!E7=""),"",Consolidated!E7)</f>
        <v>282443.93</v>
      </c>
      <c r="D75" s="154">
        <f>IF(OR(Consolidated!F7=0,Consolidated!F7=""),"",Consolidated!F7)</f>
        <v>284996.24</v>
      </c>
      <c r="E75" s="154">
        <f>IF(OR(Consolidated!G7=0,Consolidated!G7=""),"",Consolidated!G7)</f>
        <v>272796.35000000009</v>
      </c>
      <c r="F75" s="154">
        <f>IF(OR(Consolidated!H7=0,Consolidated!H7=""),"",Consolidated!H7)</f>
        <v>266720.63000000006</v>
      </c>
      <c r="G75" s="154">
        <f>IF(OR(Consolidated!I7=0,Consolidated!I7=""),"",Consolidated!I7)</f>
        <v>277334.58</v>
      </c>
      <c r="H75" s="154">
        <f>IF(OR(Consolidated!J7=0,Consolidated!J7=""),"",Consolidated!J7)</f>
        <v>301557.87000000005</v>
      </c>
      <c r="I75" s="154">
        <f>IF(OR(Consolidated!K7=0,Consolidated!K7=""),"",Consolidated!K7)</f>
        <v>280619.08000000007</v>
      </c>
      <c r="J75" s="154" t="str">
        <f>IF(OR(Consolidated!L7=0,Consolidated!L7=""),"",Consolidated!L7)</f>
        <v/>
      </c>
      <c r="K75" s="154" t="str">
        <f>IF(OR(Consolidated!M7=0,Consolidated!M7=""),"",Consolidated!M7)</f>
        <v/>
      </c>
      <c r="L75" s="154" t="str">
        <f>IF(OR(Consolidated!N7=0,Consolidated!N7=""),"",Consolidated!N7)</f>
        <v/>
      </c>
      <c r="M75" s="154" t="str">
        <f>IF(OR(Consolidated!O7=0,Consolidated!O7=""),"",Consolidated!O7)</f>
        <v/>
      </c>
      <c r="N75" s="154" t="str">
        <f>IF(OR(Consolidated!P7=0,Consolidated!P7=""),"",Consolidated!P7)</f>
        <v/>
      </c>
      <c r="O75" s="155">
        <f>SUMIF(C75:N75,"&lt;&gt;")</f>
        <v>1966468.6800000004</v>
      </c>
      <c r="Q75" s="182">
        <f>SUM(C75:G75)</f>
        <v>1384291.7300000002</v>
      </c>
    </row>
    <row r="76" spans="2:17" ht="15" customHeight="1">
      <c r="B76" s="156" t="s">
        <v>90</v>
      </c>
      <c r="C76" s="44">
        <f t="shared" ref="C76:N76" si="43">IFERROR(IF(C75="","",(C75-C74)/ABS(C74)),"—")</f>
        <v>1.140482965096277E-2</v>
      </c>
      <c r="D76" s="44">
        <f t="shared" si="43"/>
        <v>-1.7415401069822992E-2</v>
      </c>
      <c r="E76" s="44">
        <f t="shared" si="43"/>
        <v>-7.1568213801988412E-2</v>
      </c>
      <c r="F76" s="44">
        <f t="shared" si="43"/>
        <v>1.9163582687360528E-2</v>
      </c>
      <c r="G76" s="44">
        <f t="shared" si="43"/>
        <v>-6.2125465335549628E-2</v>
      </c>
      <c r="H76" s="44">
        <f t="shared" si="43"/>
        <v>9.3583172350926211E-2</v>
      </c>
      <c r="I76" s="44">
        <f t="shared" si="43"/>
        <v>1.7649792156306111E-2</v>
      </c>
      <c r="J76" s="44" t="str">
        <f t="shared" si="43"/>
        <v/>
      </c>
      <c r="K76" s="44" t="str">
        <f t="shared" si="43"/>
        <v/>
      </c>
      <c r="L76" s="44" t="str">
        <f t="shared" si="43"/>
        <v/>
      </c>
      <c r="M76" s="44" t="str">
        <f t="shared" si="43"/>
        <v/>
      </c>
      <c r="N76" s="44" t="str">
        <f t="shared" si="43"/>
        <v/>
      </c>
      <c r="O76" s="45">
        <f>IFERROR(IF(O75=0,"",(O75-O74)/ABS(O74)),"—")</f>
        <v>-0.37886751301502719</v>
      </c>
      <c r="Q76" s="183">
        <f>IFERROR(IF(Q75=0,"",(Q75-Q74)/ABS(Q74)),"—")</f>
        <v>-2.5518802048048253E-2</v>
      </c>
    </row>
    <row r="77" spans="2:17" ht="4.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Q77" s="176"/>
    </row>
    <row r="78" spans="2:17" ht="16.5" customHeight="1">
      <c r="B78" s="382" t="s">
        <v>91</v>
      </c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</row>
    <row r="79" spans="2:17" ht="13.5" customHeight="1">
      <c r="B79" s="149"/>
      <c r="C79" s="43" t="s">
        <v>59</v>
      </c>
      <c r="D79" s="43" t="s">
        <v>60</v>
      </c>
      <c r="E79" s="43" t="s">
        <v>61</v>
      </c>
      <c r="F79" s="43" t="s">
        <v>62</v>
      </c>
      <c r="G79" s="43" t="s">
        <v>63</v>
      </c>
      <c r="H79" s="43" t="s">
        <v>64</v>
      </c>
      <c r="I79" s="43" t="s">
        <v>65</v>
      </c>
      <c r="J79" s="43" t="s">
        <v>66</v>
      </c>
      <c r="K79" s="43" t="s">
        <v>67</v>
      </c>
      <c r="L79" s="43" t="s">
        <v>68</v>
      </c>
      <c r="M79" s="43" t="s">
        <v>69</v>
      </c>
      <c r="N79" s="43" t="s">
        <v>70</v>
      </c>
      <c r="O79" s="43" t="s">
        <v>87</v>
      </c>
      <c r="Q79" s="180" t="str">
        <f>$Q$73</f>
        <v>Jan/26 - Mai/26</v>
      </c>
    </row>
    <row r="80" spans="2:17" ht="15" customHeight="1">
      <c r="B80" s="150" t="s">
        <v>88</v>
      </c>
      <c r="C80" s="151">
        <f>C38</f>
        <v>-198990.39569184982</v>
      </c>
      <c r="D80" s="151">
        <f t="shared" ref="D80:O80" si="44">D38</f>
        <v>-142721.5079576892</v>
      </c>
      <c r="E80" s="151">
        <f t="shared" si="44"/>
        <v>-144874.59008546331</v>
      </c>
      <c r="F80" s="151">
        <f t="shared" si="44"/>
        <v>-192974.38698869682</v>
      </c>
      <c r="G80" s="151">
        <f t="shared" si="44"/>
        <v>-145946.50096717666</v>
      </c>
      <c r="H80" s="151">
        <f t="shared" si="44"/>
        <v>-134573.11764052231</v>
      </c>
      <c r="I80" s="151">
        <f t="shared" si="44"/>
        <v>-184562.89438524607</v>
      </c>
      <c r="J80" s="151">
        <f t="shared" si="44"/>
        <v>-113498.36411108983</v>
      </c>
      <c r="K80" s="151">
        <f t="shared" si="44"/>
        <v>-113498.36411108983</v>
      </c>
      <c r="L80" s="151">
        <f t="shared" si="44"/>
        <v>-158696.954149269</v>
      </c>
      <c r="M80" s="151">
        <f t="shared" si="44"/>
        <v>-113498.36411108983</v>
      </c>
      <c r="N80" s="151">
        <f t="shared" si="44"/>
        <v>-113498.36411108983</v>
      </c>
      <c r="O80" s="152">
        <f t="shared" si="44"/>
        <v>-1757333.8043102724</v>
      </c>
      <c r="Q80" s="181">
        <f>SUM(C80:G80)</f>
        <v>-825507.38169087574</v>
      </c>
    </row>
    <row r="81" spans="2:17" ht="15" customHeight="1">
      <c r="B81" s="153" t="s">
        <v>89</v>
      </c>
      <c r="C81" s="154">
        <f>IF(OR(Consolidated!E20=0,Consolidated!E20=""),"",Consolidated!E20)</f>
        <v>-198816.65000000002</v>
      </c>
      <c r="D81" s="154">
        <f>IF(OR(Consolidated!F20=0,Consolidated!F20=""),"",Consolidated!F20)</f>
        <v>-126321.09</v>
      </c>
      <c r="E81" s="154">
        <f>IF(OR(Consolidated!G20=0,Consolidated!G20=""),"",Consolidated!G20)</f>
        <v>-138181.44</v>
      </c>
      <c r="F81" s="154">
        <f>IF(OR(Consolidated!H20=0,Consolidated!H20=""),"",Consolidated!H20)</f>
        <v>-196414.43999999997</v>
      </c>
      <c r="G81" s="154">
        <f>IF(OR(Consolidated!I20=0,Consolidated!I20=""),"",Consolidated!I20)</f>
        <v>-128726.11000000002</v>
      </c>
      <c r="H81" s="154">
        <f>IF(OR(Consolidated!J20=0,Consolidated!J20=""),"",Consolidated!J20)</f>
        <v>-128056.72000000002</v>
      </c>
      <c r="I81" s="154">
        <f>IF(OR(Consolidated!K20=0,Consolidated!K20=""),"",Consolidated!K20)</f>
        <v>-195285.63</v>
      </c>
      <c r="J81" s="154" t="str">
        <f>IF(OR(Consolidated!L20=0,Consolidated!L20=""),"",Consolidated!L20)</f>
        <v/>
      </c>
      <c r="K81" s="154" t="str">
        <f>IF(OR(Consolidated!M20=0,Consolidated!M20=""),"",Consolidated!M20)</f>
        <v/>
      </c>
      <c r="L81" s="154" t="str">
        <f>IF(OR(Consolidated!N20=0,Consolidated!N20=""),"",Consolidated!N20)</f>
        <v/>
      </c>
      <c r="M81" s="154" t="str">
        <f>IF(OR(Consolidated!O20=0,Consolidated!O20=""),"",Consolidated!O20)</f>
        <v/>
      </c>
      <c r="N81" s="154" t="str">
        <f>IF(OR(Consolidated!P20=0,Consolidated!P20=""),"",Consolidated!P20)</f>
        <v/>
      </c>
      <c r="O81" s="155">
        <f>SUMIF(C81:N81,"&lt;&gt;")</f>
        <v>-1111802.08</v>
      </c>
      <c r="Q81" s="182">
        <f>SUM(C81:G81)</f>
        <v>-788459.73</v>
      </c>
    </row>
    <row r="82" spans="2:17" ht="15" customHeight="1">
      <c r="B82" s="156" t="s">
        <v>90</v>
      </c>
      <c r="C82" s="44">
        <f t="shared" ref="C82:N82" si="45">IFERROR(IF(C81="","",(C81-C80)/ABS(C80)),"—")</f>
        <v>8.7313606893293959E-4</v>
      </c>
      <c r="D82" s="44">
        <f t="shared" si="45"/>
        <v>0.11491202827363081</v>
      </c>
      <c r="E82" s="44">
        <f t="shared" si="45"/>
        <v>4.6199613621097618E-2</v>
      </c>
      <c r="F82" s="44">
        <f t="shared" si="45"/>
        <v>-1.7826474616575164E-2</v>
      </c>
      <c r="G82" s="44">
        <f t="shared" si="45"/>
        <v>0.11799111902689266</v>
      </c>
      <c r="H82" s="44">
        <f t="shared" si="45"/>
        <v>4.8422729255104158E-2</v>
      </c>
      <c r="I82" s="44">
        <f t="shared" si="45"/>
        <v>-5.8098003125004703E-2</v>
      </c>
      <c r="J82" s="44" t="str">
        <f t="shared" si="45"/>
        <v/>
      </c>
      <c r="K82" s="44" t="str">
        <f t="shared" si="45"/>
        <v/>
      </c>
      <c r="L82" s="44" t="str">
        <f t="shared" si="45"/>
        <v/>
      </c>
      <c r="M82" s="44" t="str">
        <f t="shared" si="45"/>
        <v/>
      </c>
      <c r="N82" s="44" t="str">
        <f t="shared" si="45"/>
        <v/>
      </c>
      <c r="O82" s="45">
        <f>IFERROR(IF(O81=0,"",(O81-O80)/ABS(O80)),"—")</f>
        <v>0.36733585999822843</v>
      </c>
      <c r="Q82" s="183">
        <f>IFERROR(IF(Q81=0,"",(Q81-Q80)/ABS(Q80)),"—")</f>
        <v>4.4878643743913656E-2</v>
      </c>
    </row>
    <row r="83" spans="2:17" ht="4.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Q83" s="176"/>
    </row>
    <row r="84" spans="2:17" ht="16.5" customHeight="1">
      <c r="B84" s="382" t="s">
        <v>92</v>
      </c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2"/>
      <c r="P84" s="382"/>
      <c r="Q84" s="382"/>
    </row>
    <row r="85" spans="2:17" ht="13.5" customHeight="1">
      <c r="B85" s="149"/>
      <c r="C85" s="43" t="s">
        <v>59</v>
      </c>
      <c r="D85" s="43" t="s">
        <v>60</v>
      </c>
      <c r="E85" s="43" t="s">
        <v>61</v>
      </c>
      <c r="F85" s="43" t="s">
        <v>62</v>
      </c>
      <c r="G85" s="43" t="s">
        <v>63</v>
      </c>
      <c r="H85" s="43" t="s">
        <v>64</v>
      </c>
      <c r="I85" s="43" t="s">
        <v>65</v>
      </c>
      <c r="J85" s="43" t="s">
        <v>66</v>
      </c>
      <c r="K85" s="43" t="s">
        <v>67</v>
      </c>
      <c r="L85" s="43" t="s">
        <v>68</v>
      </c>
      <c r="M85" s="43" t="s">
        <v>69</v>
      </c>
      <c r="N85" s="43" t="s">
        <v>70</v>
      </c>
      <c r="O85" s="43" t="s">
        <v>87</v>
      </c>
      <c r="Q85" s="180" t="str">
        <f>$Q$73</f>
        <v>Jan/26 - Mai/26</v>
      </c>
    </row>
    <row r="86" spans="2:17" ht="15" customHeight="1">
      <c r="B86" s="150" t="s">
        <v>88</v>
      </c>
      <c r="C86" s="151">
        <f t="shared" ref="C86:O86" si="46">C45</f>
        <v>-64693.810000000012</v>
      </c>
      <c r="D86" s="151">
        <f t="shared" si="46"/>
        <v>-64983.101240116397</v>
      </c>
      <c r="E86" s="151">
        <f t="shared" si="46"/>
        <v>-65273.68610355792</v>
      </c>
      <c r="F86" s="151">
        <f t="shared" si="46"/>
        <v>-65565.570375018608</v>
      </c>
      <c r="G86" s="151">
        <f t="shared" si="46"/>
        <v>-65858.759865059881</v>
      </c>
      <c r="H86" s="151">
        <f t="shared" si="46"/>
        <v>-66153.260410226256</v>
      </c>
      <c r="I86" s="151">
        <f t="shared" si="46"/>
        <v>-66449.077873161528</v>
      </c>
      <c r="J86" s="151">
        <f t="shared" si="46"/>
        <v>-66746.218142725469</v>
      </c>
      <c r="K86" s="151">
        <f t="shared" si="46"/>
        <v>-67044.687134110995</v>
      </c>
      <c r="L86" s="151">
        <f t="shared" si="46"/>
        <v>-67344.490788962095</v>
      </c>
      <c r="M86" s="151">
        <f t="shared" si="46"/>
        <v>-67645.635075491897</v>
      </c>
      <c r="N86" s="151">
        <f t="shared" si="46"/>
        <v>-67948.125988601663</v>
      </c>
      <c r="O86" s="152">
        <f t="shared" si="46"/>
        <v>-795706.42299703276</v>
      </c>
      <c r="Q86" s="181">
        <f>SUM(C86:G86)</f>
        <v>-326374.92758375284</v>
      </c>
    </row>
    <row r="87" spans="2:17" ht="15" customHeight="1">
      <c r="B87" s="153" t="s">
        <v>89</v>
      </c>
      <c r="C87" s="154">
        <f>IF(OR(Consolidated!E28=0,Consolidated!E28=""),"",Consolidated!E28)</f>
        <v>-64960.260000000009</v>
      </c>
      <c r="D87" s="154">
        <f>IF(OR(Consolidated!F28=0,Consolidated!F28=""),"",Consolidated!F28)</f>
        <v>-61297.63</v>
      </c>
      <c r="E87" s="154">
        <f>IF(OR(Consolidated!G28=0,Consolidated!G28=""),"",Consolidated!G28)</f>
        <v>-67942.220000000016</v>
      </c>
      <c r="F87" s="154">
        <f>IF(OR(Consolidated!H28=0,Consolidated!H28=""),"",Consolidated!H28)</f>
        <v>-64575.130000000019</v>
      </c>
      <c r="G87" s="154">
        <f>IF(OR(Consolidated!I28=0,Consolidated!I28=""),"",Consolidated!I28)</f>
        <v>-81372.890000000014</v>
      </c>
      <c r="H87" s="154">
        <f>IF(OR(Consolidated!J28=0,Consolidated!J28=""),"",Consolidated!J28)</f>
        <v>-66612.710000000021</v>
      </c>
      <c r="I87" s="154">
        <f>IF(OR(Consolidated!K28=0,Consolidated!K28=""),"",Consolidated!K28)</f>
        <v>-59682.890000000014</v>
      </c>
      <c r="J87" s="154" t="str">
        <f>IF(OR(Consolidated!L28=0,Consolidated!L28=""),"",Consolidated!L28)</f>
        <v/>
      </c>
      <c r="K87" s="154" t="str">
        <f>IF(OR(Consolidated!M28=0,Consolidated!M28=""),"",Consolidated!M28)</f>
        <v/>
      </c>
      <c r="L87" s="154" t="str">
        <f>IF(OR(Consolidated!N28=0,Consolidated!N28=""),"",Consolidated!N28)</f>
        <v/>
      </c>
      <c r="M87" s="154" t="str">
        <f>IF(OR(Consolidated!O28=0,Consolidated!O28=""),"",Consolidated!O28)</f>
        <v/>
      </c>
      <c r="N87" s="154" t="str">
        <f>IF(OR(Consolidated!P28=0,Consolidated!P28=""),"",Consolidated!P28)</f>
        <v/>
      </c>
      <c r="O87" s="155">
        <f>SUMIF(C87:N87,"&lt;&gt;")</f>
        <v>-466443.7300000001</v>
      </c>
      <c r="Q87" s="182">
        <f>SUM(C87:G87)</f>
        <v>-340148.13000000006</v>
      </c>
    </row>
    <row r="88" spans="2:17" ht="15" customHeight="1">
      <c r="B88" s="156" t="s">
        <v>90</v>
      </c>
      <c r="C88" s="44">
        <f t="shared" ref="C88:N88" si="47">IFERROR(IF(C87="","",(C87-C86)/ABS(C86)),"—")</f>
        <v>-4.1186320607798036E-3</v>
      </c>
      <c r="D88" s="44">
        <f t="shared" si="47"/>
        <v>5.6714302176782326E-2</v>
      </c>
      <c r="E88" s="44">
        <f t="shared" si="47"/>
        <v>-4.0882230738561579E-2</v>
      </c>
      <c r="F88" s="44">
        <f t="shared" si="47"/>
        <v>1.5106104764337715E-2</v>
      </c>
      <c r="G88" s="44">
        <f t="shared" si="47"/>
        <v>-0.2355666910024958</v>
      </c>
      <c r="H88" s="44">
        <f t="shared" si="47"/>
        <v>-6.9452297124079692E-3</v>
      </c>
      <c r="I88" s="44">
        <f t="shared" si="47"/>
        <v>0.10182515829755925</v>
      </c>
      <c r="J88" s="44" t="str">
        <f t="shared" si="47"/>
        <v/>
      </c>
      <c r="K88" s="44" t="str">
        <f t="shared" si="47"/>
        <v/>
      </c>
      <c r="L88" s="44" t="str">
        <f t="shared" si="47"/>
        <v/>
      </c>
      <c r="M88" s="44" t="str">
        <f t="shared" si="47"/>
        <v/>
      </c>
      <c r="N88" s="44" t="str">
        <f t="shared" si="47"/>
        <v/>
      </c>
      <c r="O88" s="45">
        <f>IFERROR(IF(O87=0,"",(O87-O86)/ABS(O86)),"—")</f>
        <v>0.41379921473658948</v>
      </c>
      <c r="Q88" s="183">
        <f>IFERROR(IF(Q87=0,"",(Q87-Q86)/ABS(Q86)),"—")</f>
        <v>-4.2200552959794399E-2</v>
      </c>
    </row>
    <row r="89" spans="2:17" ht="4.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Q89" s="176"/>
    </row>
    <row r="90" spans="2:17" ht="16.5" customHeight="1">
      <c r="B90" s="381" t="s">
        <v>93</v>
      </c>
      <c r="C90" s="381"/>
      <c r="D90" s="381"/>
      <c r="E90" s="381"/>
      <c r="F90" s="381"/>
      <c r="G90" s="381"/>
      <c r="H90" s="381"/>
      <c r="I90" s="381"/>
      <c r="J90" s="381"/>
      <c r="K90" s="381"/>
      <c r="L90" s="381"/>
      <c r="M90" s="381"/>
      <c r="N90" s="381"/>
      <c r="O90" s="381"/>
      <c r="P90" s="381"/>
      <c r="Q90" s="381"/>
    </row>
    <row r="91" spans="2:17" ht="13.5" customHeight="1">
      <c r="B91" s="149"/>
      <c r="C91" s="43" t="s">
        <v>59</v>
      </c>
      <c r="D91" s="43" t="s">
        <v>60</v>
      </c>
      <c r="E91" s="43" t="s">
        <v>61</v>
      </c>
      <c r="F91" s="43" t="s">
        <v>62</v>
      </c>
      <c r="G91" s="43" t="s">
        <v>63</v>
      </c>
      <c r="H91" s="43" t="s">
        <v>64</v>
      </c>
      <c r="I91" s="43" t="s">
        <v>65</v>
      </c>
      <c r="J91" s="43" t="s">
        <v>66</v>
      </c>
      <c r="K91" s="43" t="s">
        <v>67</v>
      </c>
      <c r="L91" s="43" t="s">
        <v>68</v>
      </c>
      <c r="M91" s="43" t="s">
        <v>69</v>
      </c>
      <c r="N91" s="43" t="s">
        <v>70</v>
      </c>
      <c r="O91" s="43" t="s">
        <v>87</v>
      </c>
      <c r="Q91" s="180" t="str">
        <f>$Q$73</f>
        <v>Jan/26 - Mai/26</v>
      </c>
    </row>
    <row r="92" spans="2:17" ht="15" customHeight="1">
      <c r="B92" s="150" t="s">
        <v>88</v>
      </c>
      <c r="C92" s="151">
        <f t="shared" ref="C92:O92" si="48">C46</f>
        <v>15574.822661289232</v>
      </c>
      <c r="D92" s="151">
        <f t="shared" si="48"/>
        <v>82342.924938491167</v>
      </c>
      <c r="E92" s="151">
        <f t="shared" si="48"/>
        <v>83676.595013545899</v>
      </c>
      <c r="F92" s="151">
        <f t="shared" si="48"/>
        <v>3165.4592453663645</v>
      </c>
      <c r="G92" s="151">
        <f t="shared" si="48"/>
        <v>83900.155776845248</v>
      </c>
      <c r="H92" s="151">
        <f t="shared" si="48"/>
        <v>75025.734476483529</v>
      </c>
      <c r="I92" s="151">
        <f t="shared" si="48"/>
        <v>24740.1402688245</v>
      </c>
      <c r="J92" s="151">
        <f t="shared" si="48"/>
        <v>58534.278467394921</v>
      </c>
      <c r="K92" s="151">
        <f t="shared" si="48"/>
        <v>58235.809476009395</v>
      </c>
      <c r="L92" s="151">
        <f t="shared" si="48"/>
        <v>12737.415782979122</v>
      </c>
      <c r="M92" s="151">
        <f t="shared" si="48"/>
        <v>57634.861534628493</v>
      </c>
      <c r="N92" s="151">
        <f t="shared" si="48"/>
        <v>57332.370621518727</v>
      </c>
      <c r="O92" s="152">
        <f t="shared" si="48"/>
        <v>612900.5682633766</v>
      </c>
      <c r="Q92" s="181">
        <f>SUM(C92:G92)</f>
        <v>268659.9576355379</v>
      </c>
    </row>
    <row r="93" spans="2:17" ht="15" customHeight="1">
      <c r="B93" s="153" t="s">
        <v>89</v>
      </c>
      <c r="C93" s="154">
        <f>IF(OR(Consolidated!E34=0,Consolidated!E34=""),"",Consolidated!E34)</f>
        <v>18667.019999999993</v>
      </c>
      <c r="D93" s="154">
        <f>IF(OR(Consolidated!F34=0,Consolidated!F34=""),"",Consolidated!F34)</f>
        <v>97377.51999999999</v>
      </c>
      <c r="E93" s="154">
        <f>IF(OR(Consolidated!G34=0,Consolidated!G34=""),"",Consolidated!G34)</f>
        <v>66672.690000000104</v>
      </c>
      <c r="F93" s="154">
        <f>IF(OR(Consolidated!H34=0,Consolidated!H34=""),"",Consolidated!H34)</f>
        <v>5731.0600000000886</v>
      </c>
      <c r="G93" s="154">
        <f>IF(OR(Consolidated!I34=0,Consolidated!I34=""),"",Consolidated!I34)</f>
        <v>67235.579999999958</v>
      </c>
      <c r="H93" s="154">
        <f>IF(OR(Consolidated!J34=0,Consolidated!J34=""),"",Consolidated!J34)</f>
        <v>106888.44000000005</v>
      </c>
      <c r="I93" s="154">
        <f>IF(OR(Consolidated!K34=0,Consolidated!K34=""),"",Consolidated!K34)</f>
        <v>25650.560000000041</v>
      </c>
      <c r="J93" s="154" t="str">
        <f>IF(OR(Consolidated!L34=0,Consolidated!L34=""),"",Consolidated!L34)</f>
        <v/>
      </c>
      <c r="K93" s="154" t="str">
        <f>IF(OR(Consolidated!M34=0,Consolidated!M34=""),"",Consolidated!M34)</f>
        <v/>
      </c>
      <c r="L93" s="154" t="str">
        <f>IF(OR(Consolidated!N34=0,Consolidated!N34=""),"",Consolidated!N34)</f>
        <v/>
      </c>
      <c r="M93" s="154" t="str">
        <f>IF(OR(Consolidated!O34=0,Consolidated!O34=""),"",Consolidated!O34)</f>
        <v/>
      </c>
      <c r="N93" s="154" t="str">
        <f>IF(OR(Consolidated!P34=0,Consolidated!P34=""),"",Consolidated!P34)</f>
        <v/>
      </c>
      <c r="O93" s="155">
        <f>SUMIF(C93:N93,"&lt;&gt;")</f>
        <v>388222.87000000023</v>
      </c>
      <c r="Q93" s="182">
        <f>SUM(C93:G93)</f>
        <v>255683.87000000014</v>
      </c>
    </row>
    <row r="94" spans="2:17" ht="15" customHeight="1">
      <c r="B94" s="156" t="s">
        <v>90</v>
      </c>
      <c r="C94" s="44">
        <f t="shared" ref="C94:N94" si="49">IFERROR(IF(C93="","",(C93-C92)/ABS(C92)),"—")</f>
        <v>0.19853820527898064</v>
      </c>
      <c r="D94" s="44">
        <f t="shared" si="49"/>
        <v>0.18258514708749321</v>
      </c>
      <c r="E94" s="44">
        <f t="shared" si="49"/>
        <v>-0.20320981047081488</v>
      </c>
      <c r="F94" s="44">
        <f t="shared" si="49"/>
        <v>0.81049874781653874</v>
      </c>
      <c r="G94" s="44">
        <f t="shared" si="49"/>
        <v>-0.19862389554042253</v>
      </c>
      <c r="H94" s="44">
        <f t="shared" si="49"/>
        <v>0.4246903511954786</v>
      </c>
      <c r="I94" s="44">
        <f t="shared" si="49"/>
        <v>3.6799295447923472E-2</v>
      </c>
      <c r="J94" s="44" t="str">
        <f t="shared" si="49"/>
        <v/>
      </c>
      <c r="K94" s="44" t="str">
        <f t="shared" si="49"/>
        <v/>
      </c>
      <c r="L94" s="44" t="str">
        <f t="shared" si="49"/>
        <v/>
      </c>
      <c r="M94" s="44" t="str">
        <f t="shared" si="49"/>
        <v/>
      </c>
      <c r="N94" s="44" t="str">
        <f t="shared" si="49"/>
        <v/>
      </c>
      <c r="O94" s="45">
        <f>IFERROR(IF(O93=0,"",(O93-O92)/ABS(O92)),"—")</f>
        <v>-0.36658099192172311</v>
      </c>
      <c r="Q94" s="183">
        <f>IFERROR(IF(Q93=0,"",(Q93-Q92)/ABS(Q92)),"—")</f>
        <v>-4.8299299046049203E-2</v>
      </c>
    </row>
    <row r="95" spans="2:17" ht="4.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Q95" s="176"/>
    </row>
    <row r="96" spans="2:17" ht="16.5" customHeight="1">
      <c r="B96" s="382" t="s">
        <v>94</v>
      </c>
      <c r="C96" s="382"/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</row>
    <row r="97" spans="2:17" ht="13.5" customHeight="1">
      <c r="B97" s="149"/>
      <c r="C97" s="43" t="s">
        <v>59</v>
      </c>
      <c r="D97" s="43" t="s">
        <v>60</v>
      </c>
      <c r="E97" s="43" t="s">
        <v>61</v>
      </c>
      <c r="F97" s="43" t="s">
        <v>62</v>
      </c>
      <c r="G97" s="43" t="s">
        <v>63</v>
      </c>
      <c r="H97" s="43" t="s">
        <v>64</v>
      </c>
      <c r="I97" s="43" t="s">
        <v>65</v>
      </c>
      <c r="J97" s="43" t="s">
        <v>66</v>
      </c>
      <c r="K97" s="43" t="s">
        <v>67</v>
      </c>
      <c r="L97" s="43" t="s">
        <v>68</v>
      </c>
      <c r="M97" s="43" t="s">
        <v>69</v>
      </c>
      <c r="N97" s="43" t="s">
        <v>70</v>
      </c>
      <c r="O97" s="43" t="s">
        <v>87</v>
      </c>
      <c r="Q97" s="180" t="str">
        <f>$Q$73</f>
        <v>Jan/26 - Mai/26</v>
      </c>
    </row>
    <row r="98" spans="2:17" ht="15" customHeight="1">
      <c r="B98" s="150" t="s">
        <v>88</v>
      </c>
      <c r="C98" s="151">
        <f t="shared" ref="C98:O98" si="50">C47</f>
        <v>-23355.479999999996</v>
      </c>
      <c r="D98" s="151">
        <f t="shared" si="50"/>
        <v>-23459.918674623015</v>
      </c>
      <c r="E98" s="151">
        <f t="shared" si="50"/>
        <v>-23564.824367554244</v>
      </c>
      <c r="F98" s="151">
        <f t="shared" si="50"/>
        <v>-23670.199167158946</v>
      </c>
      <c r="G98" s="151">
        <f t="shared" si="50"/>
        <v>-23776.045171140919</v>
      </c>
      <c r="H98" s="151">
        <f t="shared" si="50"/>
        <v>-23882.364486584276</v>
      </c>
      <c r="I98" s="151">
        <f t="shared" si="50"/>
        <v>-23989.159229995359</v>
      </c>
      <c r="J98" s="151">
        <f t="shared" si="50"/>
        <v>-24096.431527344906</v>
      </c>
      <c r="K98" s="151">
        <f t="shared" si="50"/>
        <v>-24204.183514110329</v>
      </c>
      <c r="L98" s="151">
        <f t="shared" si="50"/>
        <v>-24312.417335318292</v>
      </c>
      <c r="M98" s="151">
        <f t="shared" si="50"/>
        <v>-24421.135145587326</v>
      </c>
      <c r="N98" s="151">
        <f t="shared" si="50"/>
        <v>-24530.339109170811</v>
      </c>
      <c r="O98" s="152">
        <f t="shared" si="50"/>
        <v>-287262.49772858847</v>
      </c>
      <c r="Q98" s="181">
        <f>SUM(C98:G98)</f>
        <v>-117826.46738047712</v>
      </c>
    </row>
    <row r="99" spans="2:17" ht="15" customHeight="1">
      <c r="B99" s="153" t="s">
        <v>89</v>
      </c>
      <c r="C99" s="154">
        <f>IF(OR(Consolidated!E35=0,Consolidated!E35=""),"",Consolidated!E35)</f>
        <v>-23481.499999999996</v>
      </c>
      <c r="D99" s="154">
        <f>IF(OR(Consolidated!F35=0,Consolidated!F35=""),"",Consolidated!F35)</f>
        <v>-24172.25</v>
      </c>
      <c r="E99" s="154">
        <f>IF(OR(Consolidated!G35=0,Consolidated!G35=""),"",Consolidated!G35)</f>
        <v>-24636.399999999991</v>
      </c>
      <c r="F99" s="154">
        <f>IF(OR(Consolidated!H35=0,Consolidated!H35=""),"",Consolidated!H35)</f>
        <v>-21131.769999999997</v>
      </c>
      <c r="G99" s="154">
        <f>IF(OR(Consolidated!I35=0,Consolidated!I35=""),"",Consolidated!I35)</f>
        <v>-20692.519999999997</v>
      </c>
      <c r="H99" s="154">
        <f>IF(OR(Consolidated!J35=0,Consolidated!J35=""),"",Consolidated!J35)</f>
        <v>-20268.560000000005</v>
      </c>
      <c r="I99" s="154">
        <f>IF(OR(Consolidated!K35=0,Consolidated!K35=""),"",Consolidated!K35)</f>
        <v>-30373.030000000002</v>
      </c>
      <c r="J99" s="154" t="str">
        <f>IF(OR(Consolidated!L35=0,Consolidated!L35=""),"",Consolidated!L35)</f>
        <v/>
      </c>
      <c r="K99" s="154" t="str">
        <f>IF(OR(Consolidated!M35=0,Consolidated!M35=""),"",Consolidated!M35)</f>
        <v/>
      </c>
      <c r="L99" s="154" t="str">
        <f>IF(OR(Consolidated!N35=0,Consolidated!N35=""),"",Consolidated!N35)</f>
        <v/>
      </c>
      <c r="M99" s="154" t="str">
        <f>IF(OR(Consolidated!O35=0,Consolidated!O35=""),"",Consolidated!O35)</f>
        <v/>
      </c>
      <c r="N99" s="154" t="str">
        <f>IF(OR(Consolidated!P35=0,Consolidated!P35=""),"",Consolidated!P35)</f>
        <v/>
      </c>
      <c r="O99" s="155">
        <f>SUMIF(C99:N99,"&lt;&gt;")</f>
        <v>-164756.02999999997</v>
      </c>
      <c r="Q99" s="182">
        <f>SUM(C99:G99)</f>
        <v>-114114.43999999997</v>
      </c>
    </row>
    <row r="100" spans="2:17" ht="15" customHeight="1">
      <c r="B100" s="156" t="s">
        <v>90</v>
      </c>
      <c r="C100" s="44">
        <f t="shared" ref="C100:N100" si="51">IFERROR(IF(C99="","",(C99-C98)/ABS(C98)),"—")</f>
        <v>-5.3957358187457704E-3</v>
      </c>
      <c r="D100" s="44">
        <f t="shared" si="51"/>
        <v>-3.0363759365778425E-2</v>
      </c>
      <c r="E100" s="44">
        <f t="shared" si="51"/>
        <v>-4.5473525103848E-2</v>
      </c>
      <c r="F100" s="44">
        <f t="shared" si="51"/>
        <v>0.10724156350491866</v>
      </c>
      <c r="G100" s="44">
        <f t="shared" si="51"/>
        <v>0.12969041524549541</v>
      </c>
      <c r="H100" s="44">
        <f t="shared" si="51"/>
        <v>0.15131686347950582</v>
      </c>
      <c r="I100" s="44">
        <f t="shared" si="51"/>
        <v>-0.26611481914807728</v>
      </c>
      <c r="J100" s="44" t="str">
        <f t="shared" si="51"/>
        <v/>
      </c>
      <c r="K100" s="44" t="str">
        <f t="shared" si="51"/>
        <v/>
      </c>
      <c r="L100" s="44" t="str">
        <f t="shared" si="51"/>
        <v/>
      </c>
      <c r="M100" s="44" t="str">
        <f t="shared" si="51"/>
        <v/>
      </c>
      <c r="N100" s="44" t="str">
        <f t="shared" si="51"/>
        <v/>
      </c>
      <c r="O100" s="45">
        <f>IFERROR(IF(O99=0,"",(O99-O98)/ABS(O98)),"—")</f>
        <v>0.42646175082810545</v>
      </c>
      <c r="Q100" s="183">
        <f>IFERROR(IF(Q99=0,"",(Q99-Q98)/ABS(Q98)),"—")</f>
        <v>3.1504189703748978E-2</v>
      </c>
    </row>
    <row r="101" spans="2:17" ht="4.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Q101" s="176"/>
    </row>
    <row r="102" spans="2:17" ht="16.5" customHeight="1">
      <c r="B102" s="381" t="s">
        <v>95</v>
      </c>
      <c r="C102" s="381"/>
      <c r="D102" s="381"/>
      <c r="E102" s="381"/>
      <c r="F102" s="381"/>
      <c r="G102" s="381"/>
      <c r="H102" s="381"/>
      <c r="I102" s="381"/>
      <c r="J102" s="381"/>
      <c r="K102" s="381"/>
      <c r="L102" s="381"/>
      <c r="M102" s="381"/>
      <c r="N102" s="381"/>
      <c r="O102" s="381"/>
      <c r="P102" s="381"/>
      <c r="Q102" s="381"/>
    </row>
    <row r="103" spans="2:17" ht="13.5" customHeight="1">
      <c r="B103" s="149"/>
      <c r="C103" s="43" t="s">
        <v>59</v>
      </c>
      <c r="D103" s="43" t="s">
        <v>60</v>
      </c>
      <c r="E103" s="43" t="s">
        <v>61</v>
      </c>
      <c r="F103" s="43" t="s">
        <v>62</v>
      </c>
      <c r="G103" s="43" t="s">
        <v>63</v>
      </c>
      <c r="H103" s="43" t="s">
        <v>64</v>
      </c>
      <c r="I103" s="43" t="s">
        <v>65</v>
      </c>
      <c r="J103" s="43" t="s">
        <v>66</v>
      </c>
      <c r="K103" s="43" t="s">
        <v>67</v>
      </c>
      <c r="L103" s="43" t="s">
        <v>68</v>
      </c>
      <c r="M103" s="43" t="s">
        <v>69</v>
      </c>
      <c r="N103" s="43" t="s">
        <v>70</v>
      </c>
      <c r="O103" s="43" t="s">
        <v>87</v>
      </c>
      <c r="Q103" s="180" t="str">
        <f>$Q$73</f>
        <v>Jan/26 - Mai/26</v>
      </c>
    </row>
    <row r="104" spans="2:17" ht="15" customHeight="1">
      <c r="B104" s="150" t="s">
        <v>88</v>
      </c>
      <c r="C104" s="151">
        <f t="shared" ref="C104:O104" si="52">C48</f>
        <v>-7780.6573387107637</v>
      </c>
      <c r="D104" s="151">
        <f t="shared" si="52"/>
        <v>58883.006263868156</v>
      </c>
      <c r="E104" s="151">
        <f t="shared" si="52"/>
        <v>60111.770645991652</v>
      </c>
      <c r="F104" s="151">
        <f t="shared" si="52"/>
        <v>-20504.739921792581</v>
      </c>
      <c r="G104" s="151">
        <f t="shared" si="52"/>
        <v>60124.110605704329</v>
      </c>
      <c r="H104" s="151">
        <f t="shared" si="52"/>
        <v>51143.369989899249</v>
      </c>
      <c r="I104" s="151">
        <f t="shared" si="52"/>
        <v>750.98103882914074</v>
      </c>
      <c r="J104" s="151">
        <f t="shared" si="52"/>
        <v>34437.846940050018</v>
      </c>
      <c r="K104" s="151">
        <f t="shared" si="52"/>
        <v>34031.625961899066</v>
      </c>
      <c r="L104" s="151">
        <f t="shared" si="52"/>
        <v>-11575.00155233917</v>
      </c>
      <c r="M104" s="151">
        <f t="shared" si="52"/>
        <v>33213.72638904117</v>
      </c>
      <c r="N104" s="151">
        <f t="shared" si="52"/>
        <v>32802.031512347916</v>
      </c>
      <c r="O104" s="152">
        <f t="shared" si="52"/>
        <v>325638.07053478819</v>
      </c>
      <c r="Q104" s="181">
        <f>SUM(C104:G104)</f>
        <v>150833.49025506078</v>
      </c>
    </row>
    <row r="105" spans="2:17" ht="15" customHeight="1">
      <c r="B105" s="153" t="s">
        <v>89</v>
      </c>
      <c r="C105" s="154">
        <f>IF(OR(Consolidated!E46=0,Consolidated!E46=""),"",Consolidated!E46)</f>
        <v>-4814.4800000000032</v>
      </c>
      <c r="D105" s="154">
        <f>IF(OR(Consolidated!F46=0,Consolidated!F46=""),"",Consolidated!F46)</f>
        <v>73205.26999999999</v>
      </c>
      <c r="E105" s="154">
        <f>IF(OR(Consolidated!G46=0,Consolidated!G46=""),"",Consolidated!G46)</f>
        <v>42036.290000000117</v>
      </c>
      <c r="F105" s="154">
        <f>IF(OR(Consolidated!H46=0,Consolidated!H46=""),"",Consolidated!H46)</f>
        <v>-15400.709999999906</v>
      </c>
      <c r="G105" s="154">
        <f>IF(OR(Consolidated!I46=0,Consolidated!I46=""),"",Consolidated!I46)</f>
        <v>46543.059999999961</v>
      </c>
      <c r="H105" s="154">
        <f>IF(OR(Consolidated!J46=0,Consolidated!J46=""),"",Consolidated!J46)</f>
        <v>86619.880000000034</v>
      </c>
      <c r="I105" s="154">
        <f>IF(OR(Consolidated!K46=0,Consolidated!K46=""),"",Consolidated!K46)</f>
        <v>-4722.4699999999611</v>
      </c>
      <c r="J105" s="154" t="str">
        <f>IF(OR(Consolidated!L46=0,Consolidated!L46=""),"",Consolidated!L46)</f>
        <v/>
      </c>
      <c r="K105" s="154" t="str">
        <f>IF(OR(Consolidated!M46=0,Consolidated!M46=""),"",Consolidated!M46)</f>
        <v/>
      </c>
      <c r="L105" s="154" t="str">
        <f>IF(OR(Consolidated!N46=0,Consolidated!N46=""),"",Consolidated!N46)</f>
        <v/>
      </c>
      <c r="M105" s="154" t="str">
        <f>IF(OR(Consolidated!O46=0,Consolidated!O46=""),"",Consolidated!O46)</f>
        <v/>
      </c>
      <c r="N105" s="154" t="str">
        <f>IF(OR(Consolidated!P46=0,Consolidated!P46=""),"",Consolidated!P46)</f>
        <v/>
      </c>
      <c r="O105" s="155">
        <f>SUMIF(C105:N105,"&lt;&gt;")</f>
        <v>223466.84000000023</v>
      </c>
      <c r="Q105" s="182">
        <f>SUM(C105:G105)</f>
        <v>141569.43000000017</v>
      </c>
    </row>
    <row r="106" spans="2:17" ht="15" customHeight="1">
      <c r="B106" s="156" t="s">
        <v>90</v>
      </c>
      <c r="C106" s="44">
        <f t="shared" ref="C106:N106" si="53">IFERROR(IF(C105="","",(C105-C104)/ABS(C104)),"—")</f>
        <v>0.38122451736221158</v>
      </c>
      <c r="D106" s="44">
        <f t="shared" si="53"/>
        <v>0.24323254950588816</v>
      </c>
      <c r="E106" s="44">
        <f t="shared" si="53"/>
        <v>-0.30069785753677242</v>
      </c>
      <c r="F106" s="44">
        <f t="shared" si="53"/>
        <v>0.24891951525647377</v>
      </c>
      <c r="G106" s="44">
        <f t="shared" si="53"/>
        <v>-0.2258836009195927</v>
      </c>
      <c r="H106" s="44">
        <f t="shared" si="53"/>
        <v>0.69366782081640987</v>
      </c>
      <c r="I106" s="44">
        <f t="shared" si="53"/>
        <v>-7.288401112447251</v>
      </c>
      <c r="J106" s="44" t="str">
        <f t="shared" si="53"/>
        <v/>
      </c>
      <c r="K106" s="44" t="str">
        <f t="shared" si="53"/>
        <v/>
      </c>
      <c r="L106" s="44" t="str">
        <f t="shared" si="53"/>
        <v/>
      </c>
      <c r="M106" s="44" t="str">
        <f t="shared" si="53"/>
        <v/>
      </c>
      <c r="N106" s="44" t="str">
        <f t="shared" si="53"/>
        <v/>
      </c>
      <c r="O106" s="45">
        <f>IFERROR(IF(O105=0,"",(O105-O104)/ABS(O104)),"—")</f>
        <v>-0.31375701977042919</v>
      </c>
      <c r="Q106" s="183">
        <f>IFERROR(IF(Q105=0,"",(Q105-Q104)/ABS(Q104)),"—")</f>
        <v>-6.1419120113145986E-2</v>
      </c>
    </row>
    <row r="107" spans="2:17" ht="4.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Q107" s="176"/>
    </row>
    <row r="108" spans="2:17" ht="16.5" customHeight="1">
      <c r="B108" s="381" t="s">
        <v>96</v>
      </c>
      <c r="C108" s="381"/>
      <c r="D108" s="381"/>
      <c r="E108" s="381"/>
      <c r="F108" s="381"/>
      <c r="G108" s="381"/>
      <c r="H108" s="381"/>
      <c r="I108" s="381"/>
      <c r="J108" s="381"/>
      <c r="K108" s="381"/>
      <c r="L108" s="381"/>
      <c r="M108" s="381"/>
      <c r="N108" s="381"/>
      <c r="O108" s="381"/>
      <c r="P108" s="381"/>
      <c r="Q108" s="381"/>
    </row>
    <row r="109" spans="2:17" ht="13.5" customHeight="1">
      <c r="B109" s="149"/>
      <c r="C109" s="43" t="s">
        <v>59</v>
      </c>
      <c r="D109" s="43" t="s">
        <v>60</v>
      </c>
      <c r="E109" s="43" t="s">
        <v>61</v>
      </c>
      <c r="F109" s="43" t="s">
        <v>62</v>
      </c>
      <c r="G109" s="43" t="s">
        <v>63</v>
      </c>
      <c r="H109" s="43" t="s">
        <v>64</v>
      </c>
      <c r="I109" s="43" t="s">
        <v>65</v>
      </c>
      <c r="J109" s="43" t="s">
        <v>66</v>
      </c>
      <c r="K109" s="43" t="s">
        <v>67</v>
      </c>
      <c r="L109" s="43" t="s">
        <v>68</v>
      </c>
      <c r="M109" s="43" t="s">
        <v>69</v>
      </c>
      <c r="N109" s="43" t="s">
        <v>70</v>
      </c>
      <c r="O109" s="43" t="s">
        <v>87</v>
      </c>
      <c r="Q109" s="180" t="str">
        <f>$Q$73</f>
        <v>Jan/26 - Mai/26</v>
      </c>
    </row>
    <row r="110" spans="2:17" ht="15" customHeight="1">
      <c r="B110" s="150" t="s">
        <v>88</v>
      </c>
      <c r="C110" s="151">
        <f t="shared" ref="C110:O110" si="54">C51</f>
        <v>-8897.6934521233197</v>
      </c>
      <c r="D110" s="151">
        <f t="shared" si="54"/>
        <v>57722.816127322971</v>
      </c>
      <c r="E110" s="151">
        <f t="shared" si="54"/>
        <v>58936.471161181384</v>
      </c>
      <c r="F110" s="151">
        <f t="shared" si="54"/>
        <v>-21551.561588228909</v>
      </c>
      <c r="G110" s="151">
        <f t="shared" si="54"/>
        <v>58941.288939268001</v>
      </c>
      <c r="H110" s="151">
        <f t="shared" si="54"/>
        <v>50040.36153979032</v>
      </c>
      <c r="I110" s="151">
        <f t="shared" si="54"/>
        <v>-352.02741127978766</v>
      </c>
      <c r="J110" s="151">
        <f t="shared" si="54"/>
        <v>33482.731497165179</v>
      </c>
      <c r="K110" s="151">
        <f t="shared" si="54"/>
        <v>33076.510519014228</v>
      </c>
      <c r="L110" s="151">
        <f t="shared" si="54"/>
        <v>-12530.116995224011</v>
      </c>
      <c r="M110" s="151">
        <f t="shared" si="54"/>
        <v>32258.610946156328</v>
      </c>
      <c r="N110" s="151">
        <f t="shared" si="54"/>
        <v>31846.916069463074</v>
      </c>
      <c r="O110" s="152">
        <f t="shared" si="54"/>
        <v>312974.30735250545</v>
      </c>
      <c r="Q110" s="181">
        <f>SUM(C110:G110)</f>
        <v>145151.32118742014</v>
      </c>
    </row>
    <row r="111" spans="2:17" ht="15" customHeight="1">
      <c r="B111" s="153" t="s">
        <v>89</v>
      </c>
      <c r="C111" s="154">
        <f>IF(OR(Consolidated!E49=0,Consolidated!E49=""),"",Consolidated!E49)</f>
        <v>-6068.7100000000009</v>
      </c>
      <c r="D111" s="154">
        <f>IF(OR(Consolidated!F49=0,Consolidated!F49=""),"",Consolidated!F49)</f>
        <v>72233.959999999992</v>
      </c>
      <c r="E111" s="154">
        <f>IF(OR(Consolidated!G49=0,Consolidated!G49=""),"",Consolidated!G49)</f>
        <v>41699.140000000116</v>
      </c>
      <c r="F111" s="154">
        <f>IF(OR(Consolidated!H49=0,Consolidated!H49=""),"",Consolidated!H49)</f>
        <v>-16149.219999999905</v>
      </c>
      <c r="G111" s="154">
        <f>IF(OR(Consolidated!I49=0,Consolidated!I49=""),"",Consolidated!I49)</f>
        <v>46819.329999999965</v>
      </c>
      <c r="H111" s="154">
        <f>IF(OR(Consolidated!J49=0,Consolidated!J49=""),"",Consolidated!J49)</f>
        <v>83103.440000000031</v>
      </c>
      <c r="I111" s="154">
        <f>IF(OR(Consolidated!K49=0,Consolidated!K49=""),"",Consolidated!K49)</f>
        <v>-4902.1899999999623</v>
      </c>
      <c r="J111" s="154" t="str">
        <f>IF(OR(Consolidated!L49=0,Consolidated!L49=""),"",Consolidated!L49)</f>
        <v/>
      </c>
      <c r="K111" s="154" t="str">
        <f>IF(OR(Consolidated!M49=0,Consolidated!M49=""),"",Consolidated!M49)</f>
        <v/>
      </c>
      <c r="L111" s="154" t="str">
        <f>IF(OR(Consolidated!N49=0,Consolidated!N49=""),"",Consolidated!N49)</f>
        <v/>
      </c>
      <c r="M111" s="154" t="str">
        <f>IF(OR(Consolidated!O49=0,Consolidated!O49=""),"",Consolidated!O49)</f>
        <v/>
      </c>
      <c r="N111" s="154" t="str">
        <f>IF(OR(Consolidated!P49=0,Consolidated!P49=""),"",Consolidated!P49)</f>
        <v/>
      </c>
      <c r="O111" s="155">
        <f>SUMIF(C111:N111,"&lt;&gt;")</f>
        <v>216735.75000000023</v>
      </c>
      <c r="Q111" s="182">
        <f>SUM(C111:G111)</f>
        <v>138534.50000000017</v>
      </c>
    </row>
    <row r="112" spans="2:17" ht="15" customHeight="1">
      <c r="B112" s="156" t="s">
        <v>90</v>
      </c>
      <c r="C112" s="44">
        <f t="shared" ref="C112:N112" si="55">IFERROR(IF(C111="","",(C111-C110)/ABS(C110)),"—")</f>
        <v>0.31794570889023138</v>
      </c>
      <c r="D112" s="44">
        <f t="shared" si="55"/>
        <v>0.25139355364556099</v>
      </c>
      <c r="E112" s="44">
        <f t="shared" si="55"/>
        <v>-0.29247307858049482</v>
      </c>
      <c r="F112" s="44">
        <f t="shared" si="55"/>
        <v>0.2506705403277909</v>
      </c>
      <c r="G112" s="44">
        <f t="shared" si="55"/>
        <v>-0.20566158557812123</v>
      </c>
      <c r="H112" s="44">
        <f t="shared" si="55"/>
        <v>0.66072820904619411</v>
      </c>
      <c r="I112" s="44">
        <f t="shared" si="55"/>
        <v>-12.925591709401724</v>
      </c>
      <c r="J112" s="44" t="str">
        <f t="shared" si="55"/>
        <v/>
      </c>
      <c r="K112" s="44" t="str">
        <f t="shared" si="55"/>
        <v/>
      </c>
      <c r="L112" s="44" t="str">
        <f t="shared" si="55"/>
        <v/>
      </c>
      <c r="M112" s="44" t="str">
        <f t="shared" si="55"/>
        <v/>
      </c>
      <c r="N112" s="44" t="str">
        <f t="shared" si="55"/>
        <v/>
      </c>
      <c r="O112" s="45">
        <f>IFERROR(IF(O111=0,"",(O111-O110)/ABS(O110)),"—")</f>
        <v>-0.30749667014714716</v>
      </c>
      <c r="Q112" s="183">
        <f>IFERROR(IF(Q111=0,"",(Q111-Q110)/ABS(Q110)),"—")</f>
        <v>-4.5585676611763583E-2</v>
      </c>
    </row>
    <row r="113" spans="2:17" ht="4.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Q113" s="176"/>
    </row>
    <row r="114" spans="2:17" ht="16.5" customHeight="1">
      <c r="B114" s="382" t="s">
        <v>97</v>
      </c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  <c r="M114" s="382"/>
      <c r="N114" s="382"/>
      <c r="O114" s="382"/>
      <c r="P114" s="382"/>
      <c r="Q114" s="382"/>
    </row>
    <row r="115" spans="2:17" ht="13.5" customHeight="1">
      <c r="B115" s="149"/>
      <c r="C115" s="43" t="s">
        <v>59</v>
      </c>
      <c r="D115" s="43" t="s">
        <v>60</v>
      </c>
      <c r="E115" s="43" t="s">
        <v>61</v>
      </c>
      <c r="F115" s="43" t="s">
        <v>62</v>
      </c>
      <c r="G115" s="43" t="s">
        <v>63</v>
      </c>
      <c r="H115" s="43" t="s">
        <v>64</v>
      </c>
      <c r="I115" s="43" t="s">
        <v>65</v>
      </c>
      <c r="J115" s="43" t="s">
        <v>66</v>
      </c>
      <c r="K115" s="43" t="s">
        <v>67</v>
      </c>
      <c r="L115" s="43" t="s">
        <v>68</v>
      </c>
      <c r="M115" s="43" t="s">
        <v>69</v>
      </c>
      <c r="N115" s="43" t="s">
        <v>70</v>
      </c>
      <c r="O115" s="43" t="s">
        <v>87</v>
      </c>
      <c r="Q115" s="180" t="str">
        <f>$Q$73</f>
        <v>Jan/26 - Mai/26</v>
      </c>
    </row>
    <row r="116" spans="2:17" ht="15" customHeight="1">
      <c r="B116" s="150" t="s">
        <v>88</v>
      </c>
      <c r="C116" s="151">
        <f t="shared" ref="C116:O116" si="56">C52</f>
        <v>-10968.539668533987</v>
      </c>
      <c r="D116" s="151">
        <f t="shared" si="56"/>
        <v>-11392.283009419401</v>
      </c>
      <c r="E116" s="151">
        <f t="shared" si="56"/>
        <v>-11540.646597508725</v>
      </c>
      <c r="F116" s="151">
        <f t="shared" si="56"/>
        <v>-10279.081254687249</v>
      </c>
      <c r="G116" s="151">
        <f t="shared" si="56"/>
        <v>-11614.509337100269</v>
      </c>
      <c r="H116" s="151">
        <f t="shared" si="56"/>
        <v>-10830.79749569355</v>
      </c>
      <c r="I116" s="151">
        <f t="shared" si="56"/>
        <v>-10830.79749569355</v>
      </c>
      <c r="J116" s="151">
        <f t="shared" si="56"/>
        <v>-9378.5881204026828</v>
      </c>
      <c r="K116" s="151">
        <f t="shared" si="56"/>
        <v>-9378.5881204026828</v>
      </c>
      <c r="L116" s="151">
        <f t="shared" si="56"/>
        <v>-9378.5881204026828</v>
      </c>
      <c r="M116" s="151">
        <f t="shared" si="56"/>
        <v>-9378.5881204026828</v>
      </c>
      <c r="N116" s="151">
        <f t="shared" si="56"/>
        <v>-9378.5881204026828</v>
      </c>
      <c r="O116" s="152">
        <f t="shared" si="56"/>
        <v>-124349.59546065013</v>
      </c>
      <c r="Q116" s="181">
        <f>SUM(C116:G116)</f>
        <v>-55795.059867249627</v>
      </c>
    </row>
    <row r="117" spans="2:17" ht="15" customHeight="1">
      <c r="B117" s="153" t="s">
        <v>89</v>
      </c>
      <c r="C117" s="154">
        <f>IF(OR(Consolidated!E52=0,Consolidated!E52=""),"",Consolidated!E52)</f>
        <v>-10236.57</v>
      </c>
      <c r="D117" s="154">
        <f>IF(OR(Consolidated!F52=0,Consolidated!F52=""),"",Consolidated!F52)</f>
        <v>-9841.16</v>
      </c>
      <c r="E117" s="154">
        <f>IF(OR(Consolidated!G52=0,Consolidated!G52=""),"",Consolidated!G52)</f>
        <v>-8739.58</v>
      </c>
      <c r="F117" s="154">
        <f>IF(OR(Consolidated!H52=0,Consolidated!H52=""),"",Consolidated!H52)</f>
        <v>-10077.970000000001</v>
      </c>
      <c r="G117" s="154">
        <f>IF(OR(Consolidated!I52=0,Consolidated!I52=""),"",Consolidated!I52)</f>
        <v>-9270.0299999999988</v>
      </c>
      <c r="H117" s="154">
        <f>IF(OR(Consolidated!J52=0,Consolidated!J52=""),"",Consolidated!J52)</f>
        <v>-9126.119999999999</v>
      </c>
      <c r="I117" s="154">
        <f>IF(OR(Consolidated!K52=0,Consolidated!K52=""),"",Consolidated!K52)</f>
        <v>-9386.01</v>
      </c>
      <c r="J117" s="154" t="str">
        <f>IF(OR(Consolidated!L52=0,Consolidated!L52=""),"",Consolidated!L52)</f>
        <v/>
      </c>
      <c r="K117" s="154" t="str">
        <f>IF(OR(Consolidated!M52=0,Consolidated!M52=""),"",Consolidated!M52)</f>
        <v/>
      </c>
      <c r="L117" s="154" t="str">
        <f>IF(OR(Consolidated!N52=0,Consolidated!N52=""),"",Consolidated!N52)</f>
        <v/>
      </c>
      <c r="M117" s="154" t="str">
        <f>IF(OR(Consolidated!O52=0,Consolidated!O52=""),"",Consolidated!O52)</f>
        <v/>
      </c>
      <c r="N117" s="154" t="str">
        <f>IF(OR(Consolidated!P52=0,Consolidated!P52=""),"",Consolidated!P52)</f>
        <v/>
      </c>
      <c r="O117" s="155">
        <f>SUMIF(C117:N117,"&lt;&gt;")</f>
        <v>-66677.439999999988</v>
      </c>
      <c r="Q117" s="182">
        <f>SUM(C117:G117)</f>
        <v>-48165.31</v>
      </c>
    </row>
    <row r="118" spans="2:17" ht="15" customHeight="1">
      <c r="B118" s="156" t="s">
        <v>90</v>
      </c>
      <c r="C118" s="44">
        <f t="shared" ref="C118:N118" si="57">IFERROR(IF(C117="","",(C117-C116)/ABS(C116)),"—")</f>
        <v>6.6733557123727846E-2</v>
      </c>
      <c r="D118" s="44">
        <f t="shared" si="57"/>
        <v>0.13615558954573875</v>
      </c>
      <c r="E118" s="44">
        <f t="shared" si="57"/>
        <v>0.24271314209668202</v>
      </c>
      <c r="F118" s="44">
        <f t="shared" si="57"/>
        <v>1.9565100197601971E-2</v>
      </c>
      <c r="G118" s="44">
        <f t="shared" si="57"/>
        <v>0.20185780294749875</v>
      </c>
      <c r="H118" s="44">
        <f t="shared" si="57"/>
        <v>0.15739168758084074</v>
      </c>
      <c r="I118" s="44">
        <f t="shared" si="57"/>
        <v>0.13339622463332126</v>
      </c>
      <c r="J118" s="44" t="str">
        <f t="shared" si="57"/>
        <v/>
      </c>
      <c r="K118" s="44" t="str">
        <f t="shared" si="57"/>
        <v/>
      </c>
      <c r="L118" s="44" t="str">
        <f t="shared" si="57"/>
        <v/>
      </c>
      <c r="M118" s="44" t="str">
        <f t="shared" si="57"/>
        <v/>
      </c>
      <c r="N118" s="44" t="str">
        <f t="shared" si="57"/>
        <v/>
      </c>
      <c r="O118" s="45">
        <f>IFERROR(IF(O117=0,"",(O117-O116)/ABS(O116)),"—")</f>
        <v>0.46379045502323518</v>
      </c>
      <c r="Q118" s="183">
        <f>IFERROR(IF(Q117=0,"",(Q117-Q116)/ABS(Q116)),"—")</f>
        <v>0.13674597509891931</v>
      </c>
    </row>
    <row r="119" spans="2:17" ht="4.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Q119" s="176"/>
    </row>
    <row r="120" spans="2:17" ht="16.5" customHeight="1">
      <c r="B120" s="381" t="s">
        <v>98</v>
      </c>
      <c r="C120" s="381"/>
      <c r="D120" s="381"/>
      <c r="E120" s="381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</row>
    <row r="121" spans="2:17" ht="13.5" customHeight="1">
      <c r="B121" s="149"/>
      <c r="C121" s="43" t="s">
        <v>59</v>
      </c>
      <c r="D121" s="43" t="s">
        <v>60</v>
      </c>
      <c r="E121" s="43" t="s">
        <v>61</v>
      </c>
      <c r="F121" s="43" t="s">
        <v>62</v>
      </c>
      <c r="G121" s="43" t="s">
        <v>63</v>
      </c>
      <c r="H121" s="43" t="s">
        <v>64</v>
      </c>
      <c r="I121" s="43" t="s">
        <v>65</v>
      </c>
      <c r="J121" s="43" t="s">
        <v>66</v>
      </c>
      <c r="K121" s="43" t="s">
        <v>67</v>
      </c>
      <c r="L121" s="43" t="s">
        <v>68</v>
      </c>
      <c r="M121" s="43" t="s">
        <v>69</v>
      </c>
      <c r="N121" s="43" t="s">
        <v>70</v>
      </c>
      <c r="O121" s="43" t="s">
        <v>87</v>
      </c>
      <c r="Q121" s="180" t="str">
        <f>$Q$73</f>
        <v>Jan/26 - Mai/26</v>
      </c>
    </row>
    <row r="122" spans="2:17" ht="15" customHeight="1">
      <c r="B122" s="150" t="s">
        <v>88</v>
      </c>
      <c r="C122" s="151">
        <f t="shared" ref="C122:N122" si="58">C53</f>
        <v>-19866.233120657307</v>
      </c>
      <c r="D122" s="151">
        <f t="shared" si="58"/>
        <v>46330.533117903571</v>
      </c>
      <c r="E122" s="151">
        <f t="shared" si="58"/>
        <v>47395.824563672657</v>
      </c>
      <c r="F122" s="151">
        <f t="shared" si="58"/>
        <v>-31830.642842916161</v>
      </c>
      <c r="G122" s="151">
        <f t="shared" si="58"/>
        <v>47326.779602167735</v>
      </c>
      <c r="H122" s="151">
        <f t="shared" si="58"/>
        <v>39209.564044096769</v>
      </c>
      <c r="I122" s="151">
        <f t="shared" si="58"/>
        <v>-11182.824906973337</v>
      </c>
      <c r="J122" s="151">
        <f t="shared" si="58"/>
        <v>24104.143376762499</v>
      </c>
      <c r="K122" s="151">
        <f t="shared" si="58"/>
        <v>23697.922398611547</v>
      </c>
      <c r="L122" s="151">
        <f t="shared" si="58"/>
        <v>-21908.705115626693</v>
      </c>
      <c r="M122" s="151">
        <f t="shared" si="58"/>
        <v>22880.022825753644</v>
      </c>
      <c r="N122" s="151">
        <f t="shared" si="58"/>
        <v>22468.327949060389</v>
      </c>
      <c r="O122" s="152">
        <f>O53</f>
        <v>188624.71189185532</v>
      </c>
      <c r="Q122" s="181">
        <f>SUM(C122:G122)</f>
        <v>89356.261320170495</v>
      </c>
    </row>
    <row r="123" spans="2:17" ht="15" customHeight="1">
      <c r="B123" s="153" t="s">
        <v>89</v>
      </c>
      <c r="C123" s="154">
        <f>IF(OR(Consolidated!E53=0,Consolidated!E53=""),"",Consolidated!E53)</f>
        <v>-16305.28</v>
      </c>
      <c r="D123" s="154">
        <f>IF(OR(Consolidated!F53=0,Consolidated!F53=""),"",Consolidated!F53)</f>
        <v>62114.709999999992</v>
      </c>
      <c r="E123" s="154">
        <f>IF(OR(Consolidated!G53=0,Consolidated!G53=""),"",Consolidated!G53)</f>
        <v>32959.560000000121</v>
      </c>
      <c r="F123" s="154">
        <f>IF(OR(Consolidated!H53=0,Consolidated!H53=""),"",Consolidated!H53)</f>
        <v>-26786.079999999907</v>
      </c>
      <c r="G123" s="154">
        <f>IF(OR(Consolidated!I53=0,Consolidated!I53=""),"",Consolidated!I53)</f>
        <v>37549.299999999967</v>
      </c>
      <c r="H123" s="154">
        <f>IF(OR(Consolidated!J53=0,Consolidated!J53=""),"",Consolidated!J53)</f>
        <v>73977.320000000036</v>
      </c>
      <c r="I123" s="154">
        <f>IF(OR(Consolidated!K53=0,Consolidated!K53=""),"",Consolidated!K53)</f>
        <v>-14288.199999999964</v>
      </c>
      <c r="J123" s="154" t="str">
        <f>IF(OR(Consolidated!L53=0,Consolidated!L53=""),"",Consolidated!L53)</f>
        <v/>
      </c>
      <c r="K123" s="154" t="str">
        <f>IF(OR(Consolidated!M53=0,Consolidated!M53=""),"",Consolidated!M53)</f>
        <v/>
      </c>
      <c r="L123" s="154" t="str">
        <f>IF(OR(Consolidated!N53=0,Consolidated!N53=""),"",Consolidated!N53)</f>
        <v/>
      </c>
      <c r="M123" s="154" t="str">
        <f>IF(OR(Consolidated!O53=0,Consolidated!O53=""),"",Consolidated!O53)</f>
        <v/>
      </c>
      <c r="N123" s="154" t="str">
        <f>IF(OR(Consolidated!P53=0,Consolidated!P53=""),"",Consolidated!P53)</f>
        <v/>
      </c>
      <c r="O123" s="155">
        <f>SUMIF(C123:N123,"&lt;&gt;")</f>
        <v>149221.33000000025</v>
      </c>
      <c r="Q123" s="182">
        <f>SUM(C123:G123)</f>
        <v>89532.210000000166</v>
      </c>
    </row>
    <row r="124" spans="2:17" ht="15" customHeight="1">
      <c r="B124" s="156" t="s">
        <v>90</v>
      </c>
      <c r="C124" s="44">
        <f t="shared" ref="C124:N124" si="59">IFERROR(IF(C123="","",(C123-C122)/ABS(C122)),"—")</f>
        <v>0.17924651840285494</v>
      </c>
      <c r="D124" s="44">
        <f t="shared" si="59"/>
        <v>0.34068627792234318</v>
      </c>
      <c r="E124" s="44">
        <f t="shared" si="59"/>
        <v>-0.30458937462473135</v>
      </c>
      <c r="F124" s="44">
        <f t="shared" si="59"/>
        <v>0.15848133723880822</v>
      </c>
      <c r="G124" s="44">
        <f t="shared" si="59"/>
        <v>-0.20659507543842948</v>
      </c>
      <c r="H124" s="44">
        <f t="shared" si="59"/>
        <v>0.88671620823944763</v>
      </c>
      <c r="I124" s="44">
        <f t="shared" si="59"/>
        <v>-0.27769147052371274</v>
      </c>
      <c r="J124" s="44" t="str">
        <f t="shared" si="59"/>
        <v/>
      </c>
      <c r="K124" s="44" t="str">
        <f t="shared" si="59"/>
        <v/>
      </c>
      <c r="L124" s="44" t="str">
        <f t="shared" si="59"/>
        <v/>
      </c>
      <c r="M124" s="44" t="str">
        <f t="shared" si="59"/>
        <v/>
      </c>
      <c r="N124" s="44" t="str">
        <f t="shared" si="59"/>
        <v/>
      </c>
      <c r="O124" s="45">
        <f>IFERROR(IF(O123=0,"",(O123-O122)/ABS(O122)),"—")</f>
        <v>-0.20889830127054779</v>
      </c>
      <c r="Q124" s="183">
        <f>IFERROR(IF(Q123=0,"",(Q123-Q122)/ABS(Q122)),"—")</f>
        <v>1.9690693996163651E-3</v>
      </c>
    </row>
    <row r="125" spans="2:17" ht="4.5" customHeight="1">
      <c r="Q125" s="176"/>
    </row>
    <row r="127" spans="2:17">
      <c r="B127" s="381" t="s">
        <v>28</v>
      </c>
      <c r="C127" s="381"/>
      <c r="D127" s="381"/>
      <c r="E127" s="381"/>
      <c r="F127" s="381"/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</row>
    <row r="128" spans="2:17">
      <c r="B128" s="149"/>
      <c r="C128" s="43" t="s">
        <v>59</v>
      </c>
      <c r="D128" s="43" t="s">
        <v>60</v>
      </c>
      <c r="E128" s="43" t="s">
        <v>61</v>
      </c>
      <c r="F128" s="43" t="s">
        <v>62</v>
      </c>
      <c r="G128" s="43" t="s">
        <v>63</v>
      </c>
      <c r="H128" s="43" t="s">
        <v>64</v>
      </c>
      <c r="I128" s="43" t="s">
        <v>65</v>
      </c>
      <c r="J128" s="43" t="s">
        <v>66</v>
      </c>
      <c r="K128" s="43" t="s">
        <v>67</v>
      </c>
      <c r="L128" s="43" t="s">
        <v>68</v>
      </c>
      <c r="M128" s="43" t="s">
        <v>69</v>
      </c>
      <c r="N128" s="43" t="s">
        <v>70</v>
      </c>
      <c r="O128" s="43" t="s">
        <v>87</v>
      </c>
      <c r="Q128" s="180" t="str">
        <f>$Q$73</f>
        <v>Jan/26 - Mai/26</v>
      </c>
    </row>
    <row r="129" spans="2:17">
      <c r="B129" s="150" t="s">
        <v>88</v>
      </c>
      <c r="C129" s="151">
        <f>Caixa!F6</f>
        <v>328679.42</v>
      </c>
      <c r="D129" s="151">
        <f>C129+D53</f>
        <v>375009.95311790355</v>
      </c>
      <c r="E129" s="151">
        <f t="shared" ref="E129:N129" si="60">D129+E53</f>
        <v>422405.7776815762</v>
      </c>
      <c r="F129" s="151">
        <f t="shared" si="60"/>
        <v>390575.13483866001</v>
      </c>
      <c r="G129" s="151">
        <f t="shared" si="60"/>
        <v>437901.91444082774</v>
      </c>
      <c r="H129" s="151">
        <f>G129+H53-50000</f>
        <v>427111.47848492453</v>
      </c>
      <c r="I129" s="151">
        <f>H129+I53-50000</f>
        <v>365928.65357795119</v>
      </c>
      <c r="J129" s="151">
        <f>I129+J53-50000-7500</f>
        <v>332532.7969547137</v>
      </c>
      <c r="K129" s="151">
        <f>J129+K53-7500</f>
        <v>348730.71935332526</v>
      </c>
      <c r="L129" s="151">
        <f t="shared" si="60"/>
        <v>326822.01423769858</v>
      </c>
      <c r="M129" s="151">
        <f t="shared" si="60"/>
        <v>349702.03706345224</v>
      </c>
      <c r="N129" s="151">
        <f t="shared" si="60"/>
        <v>372170.36501251266</v>
      </c>
      <c r="O129" s="152">
        <f>N129</f>
        <v>372170.36501251266</v>
      </c>
      <c r="Q129" s="181">
        <f>G129</f>
        <v>437901.91444082774</v>
      </c>
    </row>
    <row r="130" spans="2:17">
      <c r="B130" s="153" t="s">
        <v>89</v>
      </c>
      <c r="C130" s="154">
        <f>IF(OR(Caixa!F6=0,Caixa!F6=""),"",Caixa!F6)</f>
        <v>328679.42</v>
      </c>
      <c r="D130" s="154">
        <f>IF(OR(Caixa!G6=0,Caixa!G6=""),"",Caixa!G6)</f>
        <v>326651.90999999997</v>
      </c>
      <c r="E130" s="154">
        <f>IF(OR(Caixa!H6=0,Caixa!H6=""),"",Caixa!H6)</f>
        <v>359161.59</v>
      </c>
      <c r="F130" s="154">
        <f>IF(OR(Caixa!I6=0,Caixa!I6=""),"",Caixa!I6)</f>
        <v>358806.95999999996</v>
      </c>
      <c r="G130" s="154">
        <f>IF(OR(Caixa!J6=0,Caixa!J6=""),"",Caixa!J6)</f>
        <v>423235.4800000001</v>
      </c>
      <c r="H130" s="154">
        <f>IF(OR(Caixa!K6=0,Caixa!K6=""),"",Caixa!K6)</f>
        <v>430815.65</v>
      </c>
      <c r="I130" s="154">
        <f>IF(OR(Caixa!L6=0,Caixa!L6=""),"",Caixa!L6)</f>
        <v>358819.06</v>
      </c>
      <c r="J130" s="154" t="str">
        <f>IF(OR(Caixa!M6=0,Caixa!M6=""),"",Caixa!M6)</f>
        <v/>
      </c>
      <c r="K130" s="154" t="str">
        <f>IF(OR(Caixa!N6=0,Caixa!N6=""),"",Caixa!N6)</f>
        <v/>
      </c>
      <c r="L130" s="154" t="str">
        <f>IF(OR(Caixa!O6=0,Caixa!O6=""),"",Caixa!O6)</f>
        <v/>
      </c>
      <c r="M130" s="154" t="str">
        <f>IF(OR(Caixa!P6=0,Caixa!P6=""),"",Caixa!P6)</f>
        <v/>
      </c>
      <c r="N130" s="154" t="str">
        <f>IF(OR(Caixa!Q6=0,Caixa!Q6=""),"",Caixa!Q6)</f>
        <v/>
      </c>
      <c r="O130" s="155">
        <f>G130</f>
        <v>423235.4800000001</v>
      </c>
      <c r="Q130" s="182">
        <f>G130</f>
        <v>423235.4800000001</v>
      </c>
    </row>
    <row r="131" spans="2:17">
      <c r="B131" s="156" t="s">
        <v>90</v>
      </c>
      <c r="C131" s="44">
        <f t="shared" ref="C131:N131" si="61">IFERROR(IF(C130="","",(C130-C129)/ABS(C129)),"—")</f>
        <v>0</v>
      </c>
      <c r="D131" s="44">
        <f t="shared" si="61"/>
        <v>-0.12895135906619459</v>
      </c>
      <c r="E131" s="44">
        <f t="shared" si="61"/>
        <v>-0.14972377515454297</v>
      </c>
      <c r="F131" s="44">
        <f t="shared" si="61"/>
        <v>-8.1336910635089327E-2</v>
      </c>
      <c r="G131" s="44">
        <f t="shared" si="61"/>
        <v>-3.3492510439365672E-2</v>
      </c>
      <c r="H131" s="44">
        <f t="shared" si="61"/>
        <v>8.6726105517349935E-3</v>
      </c>
      <c r="I131" s="44">
        <f t="shared" si="61"/>
        <v>-1.9428906450575854E-2</v>
      </c>
      <c r="J131" s="44" t="str">
        <f t="shared" si="61"/>
        <v/>
      </c>
      <c r="K131" s="44" t="str">
        <f t="shared" si="61"/>
        <v/>
      </c>
      <c r="L131" s="44" t="str">
        <f t="shared" si="61"/>
        <v/>
      </c>
      <c r="M131" s="44" t="str">
        <f t="shared" si="61"/>
        <v/>
      </c>
      <c r="N131" s="44" t="str">
        <f t="shared" si="61"/>
        <v/>
      </c>
      <c r="O131" s="45">
        <f>IFERROR(IF(O130=0,"",(O130-O129)/ABS(O129)),"—")</f>
        <v>0.13720897682374736</v>
      </c>
      <c r="Q131" s="183">
        <f>IFERROR(IF(Q130=0,"",(Q130-Q129)/ABS(Q129)),"—")</f>
        <v>-3.3492510439365672E-2</v>
      </c>
    </row>
    <row r="134" spans="2:17">
      <c r="B134" s="46" t="s">
        <v>99</v>
      </c>
    </row>
    <row r="135" spans="2:17">
      <c r="C135" t="s">
        <v>59</v>
      </c>
      <c r="D135" t="s">
        <v>60</v>
      </c>
      <c r="E135" t="s">
        <v>61</v>
      </c>
      <c r="F135" t="s">
        <v>62</v>
      </c>
      <c r="G135" t="s">
        <v>63</v>
      </c>
      <c r="H135" t="s">
        <v>64</v>
      </c>
      <c r="I135" t="s">
        <v>65</v>
      </c>
      <c r="J135" t="s">
        <v>66</v>
      </c>
      <c r="K135" t="s">
        <v>67</v>
      </c>
      <c r="L135" t="s">
        <v>68</v>
      </c>
      <c r="M135" t="s">
        <v>69</v>
      </c>
      <c r="N135" t="s">
        <v>70</v>
      </c>
    </row>
    <row r="136" spans="2:17">
      <c r="C136" s="47">
        <f t="shared" ref="C136:N136" si="62">C31</f>
        <v>279259.02835313906</v>
      </c>
      <c r="D136" s="47">
        <f t="shared" si="62"/>
        <v>290047.53413629677</v>
      </c>
      <c r="E136" s="47">
        <f t="shared" si="62"/>
        <v>293824.87120256713</v>
      </c>
      <c r="F136" s="47">
        <f t="shared" si="62"/>
        <v>261705.41660908179</v>
      </c>
      <c r="G136" s="47">
        <f t="shared" si="62"/>
        <v>295705.41660908179</v>
      </c>
      <c r="H136" s="47">
        <f t="shared" si="62"/>
        <v>275752.11252723209</v>
      </c>
      <c r="I136" s="47">
        <f t="shared" si="62"/>
        <v>275752.11252723209</v>
      </c>
      <c r="J136" s="47">
        <f t="shared" si="62"/>
        <v>238778.86072121022</v>
      </c>
      <c r="K136" s="47">
        <f t="shared" si="62"/>
        <v>238778.86072121022</v>
      </c>
      <c r="L136" s="47">
        <f t="shared" si="62"/>
        <v>238778.86072121022</v>
      </c>
      <c r="M136" s="47">
        <f t="shared" si="62"/>
        <v>238778.86072121022</v>
      </c>
      <c r="N136" s="47">
        <f t="shared" si="62"/>
        <v>238778.86072121022</v>
      </c>
    </row>
    <row r="137" spans="2:17">
      <c r="B137" t="s">
        <v>536</v>
      </c>
      <c r="C137" s="3">
        <f>IF(OR(Consolidated!E7=0,Consolidated!E7=""),NA(),Consolidated!E7)</f>
        <v>282443.93</v>
      </c>
      <c r="D137" s="3">
        <f>IF(OR(Consolidated!F7=0,Consolidated!F7=""),NA(),Consolidated!F7)</f>
        <v>284996.24</v>
      </c>
      <c r="E137" s="3">
        <f>IF(OR(Consolidated!G7=0,Consolidated!G7=""),NA(),Consolidated!G7)</f>
        <v>272796.35000000009</v>
      </c>
      <c r="F137" s="3">
        <f>IF(OR(Consolidated!H7=0,Consolidated!H7=""),NA(),Consolidated!H7)</f>
        <v>266720.63000000006</v>
      </c>
      <c r="G137">
        <f>IF(OR(Consolidated!I7=0,Consolidated!I7=""),NA(),Consolidated!I7)</f>
        <v>277334.58</v>
      </c>
      <c r="H137">
        <f>IF(OR(Consolidated!J7=0,Consolidated!J7=""),NA(),Consolidated!J7)</f>
        <v>301557.87000000005</v>
      </c>
      <c r="I137">
        <f>IF(OR(Consolidated!K7=0,Consolidated!K7=""),NA(),Consolidated!K7)</f>
        <v>280619.08000000007</v>
      </c>
      <c r="J137" t="e">
        <f>IF(OR(Consolidated!L7=0,Consolidated!L7=""),NA(),Consolidated!L7)</f>
        <v>#N/A</v>
      </c>
      <c r="K137" t="e">
        <f>IF(OR(Consolidated!M7=0,Consolidated!M7=""),NA(),Consolidated!M7)</f>
        <v>#N/A</v>
      </c>
      <c r="L137" t="e">
        <f>IF(OR(Consolidated!N7=0,Consolidated!N7=""),NA(),Consolidated!N7)</f>
        <v>#N/A</v>
      </c>
      <c r="M137" t="e">
        <f>IF(OR(Consolidated!O7=0,Consolidated!O7=""),NA(),Consolidated!O7)</f>
        <v>#N/A</v>
      </c>
      <c r="N137" t="e">
        <f>IF(OR(Consolidated!P7=0,Consolidated!P7=""),NA(),Consolidated!P7)</f>
        <v>#N/A</v>
      </c>
    </row>
    <row r="138" spans="2:17">
      <c r="C138">
        <f t="shared" ref="C138:N138" si="63">C38</f>
        <v>-198990.39569184982</v>
      </c>
      <c r="D138">
        <f t="shared" si="63"/>
        <v>-142721.5079576892</v>
      </c>
      <c r="E138">
        <f t="shared" si="63"/>
        <v>-144874.59008546331</v>
      </c>
      <c r="F138">
        <f t="shared" si="63"/>
        <v>-192974.38698869682</v>
      </c>
      <c r="G138">
        <f t="shared" si="63"/>
        <v>-145946.50096717666</v>
      </c>
      <c r="H138">
        <f t="shared" si="63"/>
        <v>-134573.11764052231</v>
      </c>
      <c r="I138">
        <f t="shared" si="63"/>
        <v>-184562.89438524607</v>
      </c>
      <c r="J138">
        <f t="shared" si="63"/>
        <v>-113498.36411108983</v>
      </c>
      <c r="K138">
        <f t="shared" si="63"/>
        <v>-113498.36411108983</v>
      </c>
      <c r="L138">
        <f t="shared" si="63"/>
        <v>-158696.954149269</v>
      </c>
      <c r="M138">
        <f t="shared" si="63"/>
        <v>-113498.36411108983</v>
      </c>
      <c r="N138">
        <f t="shared" si="63"/>
        <v>-113498.36411108983</v>
      </c>
    </row>
    <row r="139" spans="2:17">
      <c r="B139" t="s">
        <v>537</v>
      </c>
      <c r="C139" s="3">
        <f>IF(OR(Consolidated!E20=0,Consolidated!E20=""),NA(),Consolidated!E20)</f>
        <v>-198816.65000000002</v>
      </c>
      <c r="D139" s="3">
        <f>IF(OR(Consolidated!F20=0,Consolidated!F20=""),NA(),Consolidated!F20)</f>
        <v>-126321.09</v>
      </c>
      <c r="E139" s="3">
        <f>IF(OR(Consolidated!G20=0,Consolidated!G20=""),NA(),Consolidated!G20)</f>
        <v>-138181.44</v>
      </c>
      <c r="F139" s="3">
        <f>IF(OR(Consolidated!H20=0,Consolidated!H20=""),NA(),Consolidated!H20)</f>
        <v>-196414.43999999997</v>
      </c>
      <c r="G139">
        <f>IF(OR(Consolidated!I20=0,Consolidated!I20=""),NA(),Consolidated!I20)</f>
        <v>-128726.11000000002</v>
      </c>
      <c r="H139">
        <f>IF(OR(Consolidated!J20=0,Consolidated!J20=""),NA(),Consolidated!J20)</f>
        <v>-128056.72000000002</v>
      </c>
      <c r="I139">
        <f>IF(OR(Consolidated!K20=0,Consolidated!K20=""),NA(),Consolidated!K20)</f>
        <v>-195285.63</v>
      </c>
      <c r="J139" t="e">
        <f>IF(OR(Consolidated!L20=0,Consolidated!L20=""),NA(),Consolidated!L20)</f>
        <v>#N/A</v>
      </c>
      <c r="K139" t="e">
        <f>IF(OR(Consolidated!M20=0,Consolidated!M20=""),NA(),Consolidated!M20)</f>
        <v>#N/A</v>
      </c>
      <c r="L139" t="e">
        <f>IF(OR(Consolidated!N20=0,Consolidated!N20=""),NA(),Consolidated!N20)</f>
        <v>#N/A</v>
      </c>
      <c r="M139" t="e">
        <f>IF(OR(Consolidated!O20=0,Consolidated!O20=""),NA(),Consolidated!O20)</f>
        <v>#N/A</v>
      </c>
      <c r="N139" t="e">
        <f>IF(OR(Consolidated!P20=0,Consolidated!P20=""),NA(),Consolidated!P20)</f>
        <v>#N/A</v>
      </c>
    </row>
    <row r="140" spans="2:17">
      <c r="C140" s="47">
        <f t="shared" ref="C140:N140" si="64">C45</f>
        <v>-64693.810000000012</v>
      </c>
      <c r="D140" s="47">
        <f t="shared" si="64"/>
        <v>-64983.101240116397</v>
      </c>
      <c r="E140" s="47">
        <f t="shared" si="64"/>
        <v>-65273.68610355792</v>
      </c>
      <c r="F140" s="47">
        <f t="shared" si="64"/>
        <v>-65565.570375018608</v>
      </c>
      <c r="G140" s="47">
        <f t="shared" si="64"/>
        <v>-65858.759865059881</v>
      </c>
      <c r="H140" s="47">
        <f t="shared" si="64"/>
        <v>-66153.260410226256</v>
      </c>
      <c r="I140" s="47">
        <f t="shared" si="64"/>
        <v>-66449.077873161528</v>
      </c>
      <c r="J140" s="47">
        <f t="shared" si="64"/>
        <v>-66746.218142725469</v>
      </c>
      <c r="K140" s="47">
        <f t="shared" si="64"/>
        <v>-67044.687134110995</v>
      </c>
      <c r="L140" s="47">
        <f t="shared" si="64"/>
        <v>-67344.490788962095</v>
      </c>
      <c r="M140" s="47">
        <f t="shared" si="64"/>
        <v>-67645.635075491897</v>
      </c>
      <c r="N140" s="47">
        <f t="shared" si="64"/>
        <v>-67948.125988601663</v>
      </c>
    </row>
    <row r="141" spans="2:17">
      <c r="B141" t="s">
        <v>538</v>
      </c>
      <c r="C141" s="3">
        <f>IF(OR(Consolidated!E28=0,Consolidated!E28=""),NA(),Consolidated!E28)</f>
        <v>-64960.260000000009</v>
      </c>
      <c r="D141" s="3">
        <f>IF(OR(Consolidated!F28=0,Consolidated!F28=""),NA(),Consolidated!F28)</f>
        <v>-61297.63</v>
      </c>
      <c r="E141" s="3">
        <f>IF(OR(Consolidated!G28=0,Consolidated!G28=""),NA(),Consolidated!G28)</f>
        <v>-67942.220000000016</v>
      </c>
      <c r="F141" s="3">
        <f>IF(OR(Consolidated!H28=0,Consolidated!H28=""),NA(),Consolidated!H28)</f>
        <v>-64575.130000000019</v>
      </c>
      <c r="G141">
        <f>IF(OR(Consolidated!I28=0,Consolidated!I28=""),NA(),Consolidated!I28)</f>
        <v>-81372.890000000014</v>
      </c>
      <c r="H141">
        <f>IF(OR(Consolidated!J28=0,Consolidated!J28=""),NA(),Consolidated!J28)</f>
        <v>-66612.710000000021</v>
      </c>
      <c r="I141">
        <f>IF(OR(Consolidated!K28=0,Consolidated!K28=""),NA(),Consolidated!K28)</f>
        <v>-59682.890000000014</v>
      </c>
      <c r="J141" t="e">
        <f>IF(OR(Consolidated!L28=0,Consolidated!L28=""),NA(),Consolidated!L28)</f>
        <v>#N/A</v>
      </c>
      <c r="K141" t="e">
        <f>IF(OR(Consolidated!M28=0,Consolidated!M28=""),NA(),Consolidated!M28)</f>
        <v>#N/A</v>
      </c>
      <c r="L141" t="e">
        <f>IF(OR(Consolidated!N28=0,Consolidated!N28=""),NA(),Consolidated!N28)</f>
        <v>#N/A</v>
      </c>
      <c r="M141" t="e">
        <f>IF(OR(Consolidated!O28=0,Consolidated!O28=""),NA(),Consolidated!O28)</f>
        <v>#N/A</v>
      </c>
      <c r="N141" t="e">
        <f>IF(OR(Consolidated!P28=0,Consolidated!P28=""),NA(),Consolidated!P28)</f>
        <v>#N/A</v>
      </c>
    </row>
    <row r="142" spans="2:17">
      <c r="C142">
        <f t="shared" ref="C142:N142" si="65">C46</f>
        <v>15574.822661289232</v>
      </c>
      <c r="D142">
        <f t="shared" si="65"/>
        <v>82342.924938491167</v>
      </c>
      <c r="E142">
        <f t="shared" si="65"/>
        <v>83676.595013545899</v>
      </c>
      <c r="F142">
        <f t="shared" si="65"/>
        <v>3165.4592453663645</v>
      </c>
      <c r="G142">
        <f t="shared" si="65"/>
        <v>83900.155776845248</v>
      </c>
      <c r="H142">
        <f t="shared" si="65"/>
        <v>75025.734476483529</v>
      </c>
      <c r="I142">
        <f t="shared" si="65"/>
        <v>24740.1402688245</v>
      </c>
      <c r="J142">
        <f t="shared" si="65"/>
        <v>58534.278467394921</v>
      </c>
      <c r="K142">
        <f t="shared" si="65"/>
        <v>58235.809476009395</v>
      </c>
      <c r="L142">
        <f t="shared" si="65"/>
        <v>12737.415782979122</v>
      </c>
      <c r="M142">
        <f t="shared" si="65"/>
        <v>57634.861534628493</v>
      </c>
      <c r="N142">
        <f t="shared" si="65"/>
        <v>57332.370621518727</v>
      </c>
    </row>
    <row r="143" spans="2:17">
      <c r="B143" t="s">
        <v>539</v>
      </c>
      <c r="C143" s="3">
        <f>IF(OR(Consolidated!E34=0,Consolidated!E34=""),NA(),Consolidated!E34)</f>
        <v>18667.019999999993</v>
      </c>
      <c r="D143" s="3">
        <f>IF(OR(Consolidated!F34=0,Consolidated!F34=""),NA(),Consolidated!F34)</f>
        <v>97377.51999999999</v>
      </c>
      <c r="E143" s="3">
        <f>IF(OR(Consolidated!G34=0,Consolidated!G34=""),NA(),Consolidated!G34)</f>
        <v>66672.690000000104</v>
      </c>
      <c r="F143" s="3">
        <f>IF(OR(Consolidated!H34=0,Consolidated!H34=""),NA(),Consolidated!H34)</f>
        <v>5731.0600000000886</v>
      </c>
      <c r="G143">
        <f>IF(OR(Consolidated!I34=0,Consolidated!I34=""),NA(),Consolidated!I34)</f>
        <v>67235.579999999958</v>
      </c>
      <c r="H143">
        <f>IF(OR(Consolidated!J34=0,Consolidated!J34=""),NA(),Consolidated!J34)</f>
        <v>106888.44000000005</v>
      </c>
      <c r="I143">
        <f>IF(OR(Consolidated!K34=0,Consolidated!K34=""),NA(),Consolidated!K34)</f>
        <v>25650.560000000041</v>
      </c>
      <c r="J143" t="e">
        <f>IF(OR(Consolidated!L34=0,Consolidated!L34=""),NA(),Consolidated!L34)</f>
        <v>#N/A</v>
      </c>
      <c r="K143" t="e">
        <f>IF(OR(Consolidated!M34=0,Consolidated!M34=""),NA(),Consolidated!M34)</f>
        <v>#N/A</v>
      </c>
      <c r="L143" t="e">
        <f>IF(OR(Consolidated!N34=0,Consolidated!N34=""),NA(),Consolidated!N34)</f>
        <v>#N/A</v>
      </c>
      <c r="M143" t="e">
        <f>IF(OR(Consolidated!O34=0,Consolidated!O34=""),NA(),Consolidated!O34)</f>
        <v>#N/A</v>
      </c>
      <c r="N143" t="e">
        <f>IF(OR(Consolidated!P34=0,Consolidated!P34=""),NA(),Consolidated!P34)</f>
        <v>#N/A</v>
      </c>
    </row>
    <row r="144" spans="2:17">
      <c r="C144" s="47">
        <f t="shared" ref="C144:N144" si="66">C47</f>
        <v>-23355.479999999996</v>
      </c>
      <c r="D144" s="47">
        <f t="shared" si="66"/>
        <v>-23459.918674623015</v>
      </c>
      <c r="E144" s="47">
        <f t="shared" si="66"/>
        <v>-23564.824367554244</v>
      </c>
      <c r="F144" s="47">
        <f t="shared" si="66"/>
        <v>-23670.199167158946</v>
      </c>
      <c r="G144" s="47">
        <f t="shared" si="66"/>
        <v>-23776.045171140919</v>
      </c>
      <c r="H144" s="47">
        <f t="shared" si="66"/>
        <v>-23882.364486584276</v>
      </c>
      <c r="I144" s="47">
        <f t="shared" si="66"/>
        <v>-23989.159229995359</v>
      </c>
      <c r="J144" s="47">
        <f t="shared" si="66"/>
        <v>-24096.431527344906</v>
      </c>
      <c r="K144" s="47">
        <f t="shared" si="66"/>
        <v>-24204.183514110329</v>
      </c>
      <c r="L144" s="47">
        <f t="shared" si="66"/>
        <v>-24312.417335318292</v>
      </c>
      <c r="M144" s="47">
        <f t="shared" si="66"/>
        <v>-24421.135145587326</v>
      </c>
      <c r="N144" s="47">
        <f t="shared" si="66"/>
        <v>-24530.339109170811</v>
      </c>
    </row>
    <row r="145" spans="2:14">
      <c r="B145" t="s">
        <v>540</v>
      </c>
      <c r="C145" s="3">
        <f>IF(OR(Consolidated!E35=0,Consolidated!E35=""),NA(),Consolidated!E35)</f>
        <v>-23481.499999999996</v>
      </c>
      <c r="D145" s="3">
        <f>IF(OR(Consolidated!F35=0,Consolidated!F35=""),NA(),Consolidated!F35)</f>
        <v>-24172.25</v>
      </c>
      <c r="E145" s="3">
        <f>IF(OR(Consolidated!G35=0,Consolidated!G35=""),NA(),Consolidated!G35)</f>
        <v>-24636.399999999991</v>
      </c>
      <c r="F145" s="3">
        <f>IF(OR(Consolidated!H35=0,Consolidated!H35=""),NA(),Consolidated!H35)</f>
        <v>-21131.769999999997</v>
      </c>
      <c r="G145">
        <f>IF(OR(Consolidated!I35=0,Consolidated!I35=""),NA(),Consolidated!I35)</f>
        <v>-20692.519999999997</v>
      </c>
      <c r="H145">
        <f>IF(OR(Consolidated!J35=0,Consolidated!J35=""),NA(),Consolidated!J35)</f>
        <v>-20268.560000000005</v>
      </c>
      <c r="I145">
        <f>IF(OR(Consolidated!K35=0,Consolidated!K35=""),NA(),Consolidated!K35)</f>
        <v>-30373.030000000002</v>
      </c>
      <c r="J145" t="e">
        <f>IF(OR(Consolidated!L35=0,Consolidated!L35=""),NA(),Consolidated!L35)</f>
        <v>#N/A</v>
      </c>
      <c r="K145" t="e">
        <f>IF(OR(Consolidated!M35=0,Consolidated!M35=""),NA(),Consolidated!M35)</f>
        <v>#N/A</v>
      </c>
      <c r="L145" t="e">
        <f>IF(OR(Consolidated!N35=0,Consolidated!N35=""),NA(),Consolidated!N35)</f>
        <v>#N/A</v>
      </c>
      <c r="M145" t="e">
        <f>IF(OR(Consolidated!O35=0,Consolidated!O35=""),NA(),Consolidated!O35)</f>
        <v>#N/A</v>
      </c>
      <c r="N145" t="e">
        <f>IF(OR(Consolidated!P35=0,Consolidated!P35=""),NA(),Consolidated!P35)</f>
        <v>#N/A</v>
      </c>
    </row>
    <row r="146" spans="2:14">
      <c r="C146">
        <f t="shared" ref="C146:N146" si="67">C48</f>
        <v>-7780.6573387107637</v>
      </c>
      <c r="D146">
        <f t="shared" si="67"/>
        <v>58883.006263868156</v>
      </c>
      <c r="E146">
        <f t="shared" si="67"/>
        <v>60111.770645991652</v>
      </c>
      <c r="F146">
        <f t="shared" si="67"/>
        <v>-20504.739921792581</v>
      </c>
      <c r="G146">
        <f t="shared" si="67"/>
        <v>60124.110605704329</v>
      </c>
      <c r="H146">
        <f t="shared" si="67"/>
        <v>51143.369989899249</v>
      </c>
      <c r="I146">
        <f t="shared" si="67"/>
        <v>750.98103882914074</v>
      </c>
      <c r="J146">
        <f t="shared" si="67"/>
        <v>34437.846940050018</v>
      </c>
      <c r="K146">
        <f t="shared" si="67"/>
        <v>34031.625961899066</v>
      </c>
      <c r="L146">
        <f t="shared" si="67"/>
        <v>-11575.00155233917</v>
      </c>
      <c r="M146">
        <f t="shared" si="67"/>
        <v>33213.72638904117</v>
      </c>
      <c r="N146">
        <f t="shared" si="67"/>
        <v>32802.031512347916</v>
      </c>
    </row>
    <row r="147" spans="2:14">
      <c r="B147" t="s">
        <v>541</v>
      </c>
      <c r="C147" s="3">
        <f>IF(OR(Consolidated!E46=0,Consolidated!E46=""),NA(),Consolidated!E46)</f>
        <v>-4814.4800000000032</v>
      </c>
      <c r="D147" s="3">
        <f>IF(OR(Consolidated!F46=0,Consolidated!F46=""),NA(),Consolidated!F46)</f>
        <v>73205.26999999999</v>
      </c>
      <c r="E147" s="3">
        <f>IF(OR(Consolidated!G46=0,Consolidated!G46=""),NA(),Consolidated!G46)</f>
        <v>42036.290000000117</v>
      </c>
      <c r="F147" s="3">
        <f>IF(OR(Consolidated!H46=0,Consolidated!H46=""),NA(),Consolidated!H46)</f>
        <v>-15400.709999999906</v>
      </c>
      <c r="G147">
        <f>IF(OR(Consolidated!I46=0,Consolidated!I46=""),NA(),Consolidated!I46)</f>
        <v>46543.059999999961</v>
      </c>
      <c r="H147">
        <f>IF(OR(Consolidated!J46=0,Consolidated!J46=""),NA(),Consolidated!J46)</f>
        <v>86619.880000000034</v>
      </c>
      <c r="I147">
        <f>IF(OR(Consolidated!K46=0,Consolidated!K46=""),NA(),Consolidated!K46)</f>
        <v>-4722.4699999999611</v>
      </c>
      <c r="J147" t="e">
        <f>IF(OR(Consolidated!L46=0,Consolidated!L46=""),NA(),Consolidated!L46)</f>
        <v>#N/A</v>
      </c>
      <c r="K147" t="e">
        <f>IF(OR(Consolidated!M46=0,Consolidated!M46=""),NA(),Consolidated!M46)</f>
        <v>#N/A</v>
      </c>
      <c r="L147" t="e">
        <f>IF(OR(Consolidated!N46=0,Consolidated!N46=""),NA(),Consolidated!N46)</f>
        <v>#N/A</v>
      </c>
      <c r="M147" t="e">
        <f>IF(OR(Consolidated!O46=0,Consolidated!O46=""),NA(),Consolidated!O46)</f>
        <v>#N/A</v>
      </c>
      <c r="N147" t="e">
        <f>IF(OR(Consolidated!P46=0,Consolidated!P46=""),NA(),Consolidated!P46)</f>
        <v>#N/A</v>
      </c>
    </row>
    <row r="148" spans="2:14">
      <c r="C148">
        <f t="shared" ref="C148:N148" si="68">C51</f>
        <v>-8897.6934521233197</v>
      </c>
      <c r="D148">
        <f t="shared" si="68"/>
        <v>57722.816127322971</v>
      </c>
      <c r="E148">
        <f t="shared" si="68"/>
        <v>58936.471161181384</v>
      </c>
      <c r="F148">
        <f t="shared" si="68"/>
        <v>-21551.561588228909</v>
      </c>
      <c r="G148">
        <f t="shared" si="68"/>
        <v>58941.288939268001</v>
      </c>
      <c r="H148">
        <f t="shared" si="68"/>
        <v>50040.36153979032</v>
      </c>
      <c r="I148">
        <f t="shared" si="68"/>
        <v>-352.02741127978766</v>
      </c>
      <c r="J148">
        <f t="shared" si="68"/>
        <v>33482.731497165179</v>
      </c>
      <c r="K148">
        <f t="shared" si="68"/>
        <v>33076.510519014228</v>
      </c>
      <c r="L148">
        <f t="shared" si="68"/>
        <v>-12530.116995224011</v>
      </c>
      <c r="M148">
        <f t="shared" si="68"/>
        <v>32258.610946156328</v>
      </c>
      <c r="N148">
        <f t="shared" si="68"/>
        <v>31846.916069463074</v>
      </c>
    </row>
    <row r="149" spans="2:14">
      <c r="B149" t="s">
        <v>542</v>
      </c>
      <c r="C149" s="3">
        <f>IF(OR(Consolidated!E49=0,Consolidated!E49=""),NA(),Consolidated!E49)</f>
        <v>-6068.7100000000009</v>
      </c>
      <c r="D149" s="3">
        <f>IF(OR(Consolidated!F49=0,Consolidated!F49=""),NA(),Consolidated!F49)</f>
        <v>72233.959999999992</v>
      </c>
      <c r="E149" s="3">
        <f>IF(OR(Consolidated!G49=0,Consolidated!G49=""),NA(),Consolidated!G49)</f>
        <v>41699.140000000116</v>
      </c>
      <c r="F149" s="3">
        <f>IF(OR(Consolidated!H49=0,Consolidated!H49=""),NA(),Consolidated!H49)</f>
        <v>-16149.219999999905</v>
      </c>
      <c r="G149">
        <f>IF(OR(Consolidated!I49=0,Consolidated!I49=""),NA(),Consolidated!I49)</f>
        <v>46819.329999999965</v>
      </c>
      <c r="H149">
        <f>IF(OR(Consolidated!J49=0,Consolidated!J49=""),NA(),Consolidated!J49)</f>
        <v>83103.440000000031</v>
      </c>
      <c r="I149">
        <f>IF(OR(Consolidated!K49=0,Consolidated!K49=""),NA(),Consolidated!K49)</f>
        <v>-4902.1899999999623</v>
      </c>
      <c r="J149" t="e">
        <f>IF(OR(Consolidated!L49=0,Consolidated!L49=""),NA(),Consolidated!L49)</f>
        <v>#N/A</v>
      </c>
      <c r="K149" t="e">
        <f>IF(OR(Consolidated!M49=0,Consolidated!M49=""),NA(),Consolidated!M49)</f>
        <v>#N/A</v>
      </c>
      <c r="L149" t="e">
        <f>IF(OR(Consolidated!N49=0,Consolidated!N49=""),NA(),Consolidated!N49)</f>
        <v>#N/A</v>
      </c>
      <c r="M149" t="e">
        <f>IF(OR(Consolidated!O49=0,Consolidated!O49=""),NA(),Consolidated!O49)</f>
        <v>#N/A</v>
      </c>
      <c r="N149" t="e">
        <f>IF(OR(Consolidated!P49=0,Consolidated!P49=""),NA(),Consolidated!P49)</f>
        <v>#N/A</v>
      </c>
    </row>
    <row r="150" spans="2:14">
      <c r="C150">
        <f t="shared" ref="C150:N150" si="69">C52</f>
        <v>-10968.539668533987</v>
      </c>
      <c r="D150">
        <f t="shared" si="69"/>
        <v>-11392.283009419401</v>
      </c>
      <c r="E150">
        <f t="shared" si="69"/>
        <v>-11540.646597508725</v>
      </c>
      <c r="F150">
        <f t="shared" si="69"/>
        <v>-10279.081254687249</v>
      </c>
      <c r="G150">
        <f t="shared" si="69"/>
        <v>-11614.509337100269</v>
      </c>
      <c r="H150">
        <f t="shared" si="69"/>
        <v>-10830.79749569355</v>
      </c>
      <c r="I150">
        <f t="shared" si="69"/>
        <v>-10830.79749569355</v>
      </c>
      <c r="J150">
        <f t="shared" si="69"/>
        <v>-9378.5881204026828</v>
      </c>
      <c r="K150">
        <f t="shared" si="69"/>
        <v>-9378.5881204026828</v>
      </c>
      <c r="L150">
        <f t="shared" si="69"/>
        <v>-9378.5881204026828</v>
      </c>
      <c r="M150">
        <f t="shared" si="69"/>
        <v>-9378.5881204026828</v>
      </c>
      <c r="N150">
        <f t="shared" si="69"/>
        <v>-9378.5881204026828</v>
      </c>
    </row>
    <row r="151" spans="2:14">
      <c r="B151" t="s">
        <v>543</v>
      </c>
      <c r="C151" s="3">
        <f>IF(OR(Consolidated!E50=0,Consolidated!E50=""),NA(),Consolidated!E50)</f>
        <v>-10236.57</v>
      </c>
      <c r="D151">
        <f>IF(OR(Consolidated!F50=0,Consolidated!F50=""),NA(),Consolidated!F50)</f>
        <v>-10119.25</v>
      </c>
      <c r="E151">
        <f>IF(OR(Consolidated!G50=0,Consolidated!G50=""),NA(),Consolidated!G50)</f>
        <v>-8739.58</v>
      </c>
      <c r="F151">
        <f>IF(OR(Consolidated!H50=0,Consolidated!H50=""),NA(),Consolidated!H50)</f>
        <v>-10636.86</v>
      </c>
      <c r="G151">
        <f>IF(OR(Consolidated!I50=0,Consolidated!I50=""),NA(),Consolidated!I50)</f>
        <v>-9270.0299999999988</v>
      </c>
      <c r="H151">
        <f>IF(OR(Consolidated!J50=0,Consolidated!J50=""),NA(),Consolidated!J50)</f>
        <v>-9126.119999999999</v>
      </c>
      <c r="I151">
        <f>IF(OR(Consolidated!K50=0,Consolidated!K50=""),NA(),Consolidated!K50)</f>
        <v>-9386.01</v>
      </c>
      <c r="J151" t="e">
        <f>IF(OR(Consolidated!L50=0,Consolidated!L50=""),NA(),Consolidated!L50)</f>
        <v>#N/A</v>
      </c>
      <c r="K151" t="e">
        <f>IF(OR(Consolidated!M50=0,Consolidated!M50=""),NA(),Consolidated!M50)</f>
        <v>#N/A</v>
      </c>
      <c r="L151" t="e">
        <f>IF(OR(Consolidated!N50=0,Consolidated!N50=""),NA(),Consolidated!N50)</f>
        <v>#N/A</v>
      </c>
      <c r="M151" t="e">
        <f>IF(OR(Consolidated!O50=0,Consolidated!O50=""),NA(),Consolidated!O50)</f>
        <v>#N/A</v>
      </c>
      <c r="N151" t="e">
        <f>IF(OR(Consolidated!P50=0,Consolidated!P50=""),NA(),Consolidated!P50)</f>
        <v>#N/A</v>
      </c>
    </row>
    <row r="152" spans="2:14">
      <c r="C152">
        <f t="shared" ref="C152:N152" si="70">C53</f>
        <v>-19866.233120657307</v>
      </c>
      <c r="D152">
        <f t="shared" si="70"/>
        <v>46330.533117903571</v>
      </c>
      <c r="E152">
        <f t="shared" si="70"/>
        <v>47395.824563672657</v>
      </c>
      <c r="F152">
        <f t="shared" si="70"/>
        <v>-31830.642842916161</v>
      </c>
      <c r="G152">
        <f t="shared" si="70"/>
        <v>47326.779602167735</v>
      </c>
      <c r="H152">
        <f t="shared" si="70"/>
        <v>39209.564044096769</v>
      </c>
      <c r="I152">
        <f t="shared" si="70"/>
        <v>-11182.824906973337</v>
      </c>
      <c r="J152">
        <f t="shared" si="70"/>
        <v>24104.143376762499</v>
      </c>
      <c r="K152">
        <f t="shared" si="70"/>
        <v>23697.922398611547</v>
      </c>
      <c r="L152">
        <f t="shared" si="70"/>
        <v>-21908.705115626693</v>
      </c>
      <c r="M152">
        <f t="shared" si="70"/>
        <v>22880.022825753644</v>
      </c>
      <c r="N152">
        <f t="shared" si="70"/>
        <v>22468.327949060389</v>
      </c>
    </row>
    <row r="153" spans="2:14">
      <c r="B153" t="s">
        <v>544</v>
      </c>
      <c r="C153" s="3">
        <f>IF(OR(Consolidated!E53=0,Consolidated!E53=""),NA(),Consolidated!E53)</f>
        <v>-16305.28</v>
      </c>
      <c r="D153" s="3">
        <f>IF(OR(Consolidated!F53=0,Consolidated!F53=""),NA(),Consolidated!F53)</f>
        <v>62114.709999999992</v>
      </c>
      <c r="E153" s="3">
        <f>IF(OR(Consolidated!G53=0,Consolidated!G53=""),NA(),Consolidated!G53)</f>
        <v>32959.560000000121</v>
      </c>
      <c r="F153" s="3">
        <f>IF(OR(Consolidated!H53=0,Consolidated!H53=""),NA(),Consolidated!H53)</f>
        <v>-26786.079999999907</v>
      </c>
      <c r="G153">
        <f>IF(OR(Consolidated!I53=0,Consolidated!I53=""),NA(),Consolidated!I53)</f>
        <v>37549.299999999967</v>
      </c>
      <c r="H153">
        <f>IF(OR(Consolidated!J53=0,Consolidated!J53=""),NA(),Consolidated!J53)</f>
        <v>73977.320000000036</v>
      </c>
      <c r="I153">
        <f>IF(OR(Consolidated!K53=0,Consolidated!K53=""),NA(),Consolidated!K53)</f>
        <v>-14288.199999999964</v>
      </c>
      <c r="J153" t="e">
        <f>IF(OR(Consolidated!L53=0,Consolidated!L53=""),NA(),Consolidated!L53)</f>
        <v>#N/A</v>
      </c>
      <c r="K153" t="e">
        <f>IF(OR(Consolidated!M53=0,Consolidated!M53=""),NA(),Consolidated!M53)</f>
        <v>#N/A</v>
      </c>
      <c r="L153" t="e">
        <f>IF(OR(Consolidated!N53=0,Consolidated!N53=""),NA(),Consolidated!N53)</f>
        <v>#N/A</v>
      </c>
      <c r="M153" t="e">
        <f>IF(OR(Consolidated!O53=0,Consolidated!O53=""),NA(),Consolidated!O53)</f>
        <v>#N/A</v>
      </c>
      <c r="N153" t="e">
        <f>IF(OR(Consolidated!P53=0,Consolidated!P53=""),NA(),Consolidated!P53)</f>
        <v>#N/A</v>
      </c>
    </row>
  </sheetData>
  <mergeCells count="34">
    <mergeCell ref="D16:G16"/>
    <mergeCell ref="D17:G17"/>
    <mergeCell ref="D18:G18"/>
    <mergeCell ref="D7:G7"/>
    <mergeCell ref="B55:O55"/>
    <mergeCell ref="D12:G12"/>
    <mergeCell ref="D13:G13"/>
    <mergeCell ref="D14:G14"/>
    <mergeCell ref="D15:G15"/>
    <mergeCell ref="B63:O63"/>
    <mergeCell ref="B78:Q78"/>
    <mergeCell ref="B114:Q114"/>
    <mergeCell ref="B120:Q120"/>
    <mergeCell ref="B1:O1"/>
    <mergeCell ref="B2:O2"/>
    <mergeCell ref="B4:O4"/>
    <mergeCell ref="B25:O25"/>
    <mergeCell ref="B29:O29"/>
    <mergeCell ref="I10:J10"/>
    <mergeCell ref="I15:J15"/>
    <mergeCell ref="D5:G5"/>
    <mergeCell ref="D6:G6"/>
    <mergeCell ref="D8:G8"/>
    <mergeCell ref="D10:G10"/>
    <mergeCell ref="D11:G11"/>
    <mergeCell ref="B64:O64"/>
    <mergeCell ref="B66:Q66"/>
    <mergeCell ref="B84:Q84"/>
    <mergeCell ref="B72:Q72"/>
    <mergeCell ref="B127:Q127"/>
    <mergeCell ref="B90:Q90"/>
    <mergeCell ref="B96:Q96"/>
    <mergeCell ref="B102:Q102"/>
    <mergeCell ref="B108:Q108"/>
  </mergeCells>
  <conditionalFormatting sqref="C70:N70">
    <cfRule type="expression" dxfId="44" priority="3">
      <formula>AND(ISNUMBER(C70),C70&gt;0.1)</formula>
    </cfRule>
    <cfRule type="expression" dxfId="43" priority="4">
      <formula>AND(ISNUMBER(C70),C70&lt;-0.1)</formula>
    </cfRule>
  </conditionalFormatting>
  <conditionalFormatting sqref="C76:N76">
    <cfRule type="expression" dxfId="42" priority="6">
      <formula>AND(ISNUMBER(C76),C76&gt;0.1)</formula>
    </cfRule>
    <cfRule type="expression" dxfId="41" priority="7">
      <formula>AND(ISNUMBER(C76),C76&lt;-0.1)</formula>
    </cfRule>
  </conditionalFormatting>
  <conditionalFormatting sqref="C82:N82">
    <cfRule type="expression" dxfId="40" priority="30">
      <formula>AND(ISNUMBER(C82),C82&gt;0.1)</formula>
    </cfRule>
    <cfRule type="expression" dxfId="39" priority="31">
      <formula>AND(ISNUMBER(C82),C82&lt;-0.1)</formula>
    </cfRule>
  </conditionalFormatting>
  <conditionalFormatting sqref="C88:N88">
    <cfRule type="expression" dxfId="38" priority="54">
      <formula>AND(ISNUMBER(C88),C88&gt;0.1)</formula>
    </cfRule>
    <cfRule type="expression" dxfId="37" priority="55">
      <formula>AND(ISNUMBER(C88),C88&lt;-0.1)</formula>
    </cfRule>
  </conditionalFormatting>
  <conditionalFormatting sqref="C94:N94">
    <cfRule type="expression" dxfId="36" priority="78">
      <formula>AND(ISNUMBER(C94),C94&gt;0.1)</formula>
    </cfRule>
    <cfRule type="expression" dxfId="35" priority="79">
      <formula>AND(ISNUMBER(C94),C94&lt;-0.1)</formula>
    </cfRule>
  </conditionalFormatting>
  <conditionalFormatting sqref="C100:N100">
    <cfRule type="expression" dxfId="34" priority="102">
      <formula>AND(ISNUMBER(C100),C100&gt;0.1)</formula>
    </cfRule>
    <cfRule type="expression" dxfId="33" priority="103">
      <formula>AND(ISNUMBER(C100),C100&lt;-0.1)</formula>
    </cfRule>
  </conditionalFormatting>
  <conditionalFormatting sqref="C106:N106">
    <cfRule type="expression" dxfId="32" priority="126">
      <formula>AND(ISNUMBER(C106),C106&gt;0.1)</formula>
    </cfRule>
    <cfRule type="expression" dxfId="31" priority="127">
      <formula>AND(ISNUMBER(C106),C106&lt;-0.1)</formula>
    </cfRule>
  </conditionalFormatting>
  <conditionalFormatting sqref="C112:N112">
    <cfRule type="expression" dxfId="30" priority="150">
      <formula>AND(ISNUMBER(C112),C112&gt;0.1)</formula>
    </cfRule>
    <cfRule type="expression" dxfId="29" priority="151">
      <formula>AND(ISNUMBER(C112),C112&lt;-0.1)</formula>
    </cfRule>
  </conditionalFormatting>
  <conditionalFormatting sqref="C118:N118">
    <cfRule type="expression" dxfId="28" priority="174">
      <formula>AND(ISNUMBER(C118),C118&gt;0.1)</formula>
    </cfRule>
    <cfRule type="expression" dxfId="27" priority="175">
      <formula>AND(ISNUMBER(C118),C118&lt;-0.1)</formula>
    </cfRule>
  </conditionalFormatting>
  <conditionalFormatting sqref="C124:N124">
    <cfRule type="expression" dxfId="26" priority="198">
      <formula>AND(ISNUMBER(C124),C124&gt;0.1)</formula>
    </cfRule>
    <cfRule type="expression" dxfId="25" priority="199">
      <formula>AND(ISNUMBER(C124),C124&lt;-0.1)</formula>
    </cfRule>
  </conditionalFormatting>
  <conditionalFormatting sqref="C131:N131">
    <cfRule type="expression" dxfId="24" priority="1">
      <formula>AND(ISNUMBER(C131),C131&gt;0.1)</formula>
    </cfRule>
    <cfRule type="expression" dxfId="23" priority="2">
      <formula>AND(ISNUMBER(C131),C131&lt;-0.1)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T1"/>
  <sheetViews>
    <sheetView showGridLines="0" zoomScaleNormal="100" workbookViewId="0">
      <selection activeCell="P21" sqref="P21"/>
    </sheetView>
  </sheetViews>
  <sheetFormatPr baseColWidth="10" defaultColWidth="8.6640625" defaultRowHeight="15"/>
  <cols>
    <col min="1" max="1" width="2" customWidth="1"/>
  </cols>
  <sheetData>
    <row r="1" spans="2:20" ht="27.75" customHeight="1">
      <c r="B1" s="389" t="s">
        <v>100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</row>
  </sheetData>
  <mergeCells count="1">
    <mergeCell ref="B1:T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87D1-1BF8-9240-942F-12D95B2825D7}">
  <dimension ref="D2:AB79"/>
  <sheetViews>
    <sheetView tabSelected="1" topLeftCell="D17" zoomScale="93" zoomScaleNormal="93" workbookViewId="0">
      <selection activeCell="U9" sqref="U9"/>
    </sheetView>
  </sheetViews>
  <sheetFormatPr baseColWidth="10" defaultRowHeight="16" outlineLevelRow="1" outlineLevelCol="1"/>
  <cols>
    <col min="1" max="3" width="10.83203125" style="206"/>
    <col min="4" max="4" width="38" style="206" bestFit="1" customWidth="1"/>
    <col min="5" max="8" width="16.5" style="206" customWidth="1"/>
    <col min="9" max="16" width="16.5" style="206" bestFit="1" customWidth="1" outlineLevel="1"/>
    <col min="17" max="17" width="14.33203125" style="209" customWidth="1"/>
    <col min="18" max="18" width="10.83203125" style="209" customWidth="1"/>
    <col min="19" max="19" width="10.83203125" style="206" customWidth="1"/>
    <col min="20" max="20" width="38" style="206" hidden="1" customWidth="1" outlineLevel="1"/>
    <col min="21" max="21" width="14.33203125" style="206" hidden="1" customWidth="1" outlineLevel="1"/>
    <col min="22" max="22" width="10.83203125" style="206" collapsed="1"/>
    <col min="23" max="23" width="10.83203125" style="206"/>
    <col min="24" max="24" width="18.83203125" style="206" bestFit="1" customWidth="1"/>
    <col min="25" max="16384" width="10.83203125" style="206"/>
  </cols>
  <sheetData>
    <row r="2" spans="4:28">
      <c r="D2" s="279" t="s">
        <v>89</v>
      </c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</row>
    <row r="3" spans="4:28">
      <c r="D3" s="280" t="s">
        <v>587</v>
      </c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</row>
    <row r="5" spans="4:28">
      <c r="E5" s="283" t="s">
        <v>89</v>
      </c>
      <c r="F5" s="283" t="s">
        <v>89</v>
      </c>
      <c r="G5" s="283" t="s">
        <v>89</v>
      </c>
      <c r="H5" s="283" t="s">
        <v>89</v>
      </c>
      <c r="I5" s="283" t="s">
        <v>89</v>
      </c>
      <c r="J5" s="283" t="s">
        <v>89</v>
      </c>
      <c r="K5" s="283" t="s">
        <v>89</v>
      </c>
      <c r="L5" s="283" t="s">
        <v>587</v>
      </c>
      <c r="M5" s="283" t="s">
        <v>587</v>
      </c>
      <c r="N5" s="283" t="s">
        <v>587</v>
      </c>
      <c r="O5" s="283" t="s">
        <v>587</v>
      </c>
      <c r="P5" s="283" t="s">
        <v>587</v>
      </c>
    </row>
    <row r="7" spans="4:28">
      <c r="D7" s="235" t="s">
        <v>1</v>
      </c>
      <c r="E7" s="236">
        <f>AuM!C76</f>
        <v>290504767</v>
      </c>
      <c r="F7" s="236">
        <f>AuM!C77</f>
        <v>304511145</v>
      </c>
      <c r="G7" s="236">
        <f>AuM!C78</f>
        <v>309415143</v>
      </c>
      <c r="H7" s="237">
        <f>AuM!C79</f>
        <v>311856596</v>
      </c>
      <c r="I7" s="236">
        <f>IF(I5=$D$2,Consolidated!I4,'Orçamento 2026'!G27)</f>
        <v>312069591</v>
      </c>
      <c r="J7" s="236">
        <f>IF(J5=$D$2,Consolidated!J4,'Orçamento 2026'!H27)</f>
        <v>295791970</v>
      </c>
      <c r="K7" s="237">
        <f>IF(K5=$D$2,Consolidated!K4,'Orçamento 2026'!I27)</f>
        <v>254401486</v>
      </c>
      <c r="L7" s="238">
        <f>IF(L5=$D$2,Consolidated!L4,'Orçamento 2026'!J27)</f>
        <v>245895677.28</v>
      </c>
      <c r="M7" s="236">
        <f>IF(M5=$D$2,Consolidated!M4,'Orçamento 2026'!K27)</f>
        <v>245895677.28</v>
      </c>
      <c r="N7" s="239">
        <f>IF(N5=$D$2,Consolidated!N4,'Orçamento 2026'!L27)</f>
        <v>245895677.28</v>
      </c>
      <c r="O7" s="239">
        <f>IF(O5=$D$2,Consolidated!O4,'Orçamento 2026'!M27)</f>
        <v>245895677.28</v>
      </c>
      <c r="P7" s="239">
        <f>IF(P5=$D$2,Consolidated!P4,'Orçamento 2026'!N27)</f>
        <v>245895677.28</v>
      </c>
      <c r="Q7" s="8" t="s">
        <v>8</v>
      </c>
      <c r="U7" s="8" t="s">
        <v>8</v>
      </c>
    </row>
    <row r="8" spans="4:28">
      <c r="D8" s="231" t="s">
        <v>534</v>
      </c>
      <c r="E8" s="232">
        <f>IF(E7&gt;0,(E10/E7)*12,"")</f>
        <v>1.1667027687707445E-2</v>
      </c>
      <c r="F8" s="233">
        <f t="shared" ref="F8:P8" si="0">IF(F7&gt;0,(F10/F7)*12,"")</f>
        <v>1.123096785176779E-2</v>
      </c>
      <c r="G8" s="234">
        <f t="shared" si="0"/>
        <v>1.0579818971562103E-2</v>
      </c>
      <c r="H8" s="232">
        <f t="shared" si="0"/>
        <v>1.0263203026816853E-2</v>
      </c>
      <c r="I8" s="233">
        <f t="shared" si="0"/>
        <v>1.0664335955758022E-2</v>
      </c>
      <c r="J8" s="234">
        <f t="shared" si="0"/>
        <v>1.2233917100589312E-2</v>
      </c>
      <c r="K8" s="232">
        <f t="shared" si="0"/>
        <v>1.3236671738623416E-2</v>
      </c>
      <c r="L8" s="233">
        <f t="shared" si="0"/>
        <v>1.1652690931169843E-2</v>
      </c>
      <c r="M8" s="234">
        <f t="shared" si="0"/>
        <v>1.1652690931169843E-2</v>
      </c>
      <c r="N8" s="232">
        <f t="shared" si="0"/>
        <v>1.1652690931169843E-2</v>
      </c>
      <c r="O8" s="233">
        <f t="shared" si="0"/>
        <v>1.1652690931169843E-2</v>
      </c>
      <c r="P8" s="234">
        <f t="shared" si="0"/>
        <v>1.1652690931169843E-2</v>
      </c>
      <c r="Q8" s="240">
        <f>AVERAGE(E8:P8)</f>
        <v>1.1511616415722847E-2</v>
      </c>
      <c r="U8" s="261">
        <v>12</v>
      </c>
    </row>
    <row r="9" spans="4:28">
      <c r="D9" s="217" t="s">
        <v>6</v>
      </c>
      <c r="E9" s="224" t="s">
        <v>526</v>
      </c>
      <c r="F9" s="225" t="s">
        <v>525</v>
      </c>
      <c r="G9" s="226" t="s">
        <v>524</v>
      </c>
      <c r="H9" s="224" t="s">
        <v>523</v>
      </c>
      <c r="I9" s="210">
        <v>46143</v>
      </c>
      <c r="J9" s="227">
        <v>46174</v>
      </c>
      <c r="K9" s="228">
        <v>46204</v>
      </c>
      <c r="L9" s="210">
        <v>46235</v>
      </c>
      <c r="M9" s="227">
        <v>46266</v>
      </c>
      <c r="N9" s="228">
        <v>46296</v>
      </c>
      <c r="O9" s="210">
        <v>46327</v>
      </c>
      <c r="P9" s="227">
        <v>46357</v>
      </c>
      <c r="Q9" s="214" t="s">
        <v>150</v>
      </c>
      <c r="U9" s="214" t="s">
        <v>150</v>
      </c>
    </row>
    <row r="10" spans="4:28">
      <c r="D10" s="218" t="s">
        <v>9</v>
      </c>
      <c r="E10" s="212">
        <f>CNS!B8+CRR!B8</f>
        <v>282443.93</v>
      </c>
      <c r="F10" s="208">
        <f>CNS!C8+CRR!C8</f>
        <v>284996.24</v>
      </c>
      <c r="G10" s="208">
        <f>CNS!D8+CRR!D8</f>
        <v>272796.35000000009</v>
      </c>
      <c r="H10" s="212">
        <f>CNS!E8+CRR!E8</f>
        <v>266720.63000000006</v>
      </c>
      <c r="I10" s="208">
        <f>IF(I5=$D$2,Consolidated!I7,SUM(I11:I21))</f>
        <v>277334.58</v>
      </c>
      <c r="J10" s="208">
        <f>IF(J5=$D$2,Consolidated!J7,SUM(J11:J21))</f>
        <v>301557.87000000005</v>
      </c>
      <c r="K10" s="212">
        <f>IF(K5=$D$2,Consolidated!K7,SUM(K11:K21))</f>
        <v>280619.08000000007</v>
      </c>
      <c r="L10" s="208">
        <f>IF(L5=$D$2,Consolidated!L7,SUM(L11:L21))</f>
        <v>238778.86072121022</v>
      </c>
      <c r="M10" s="208">
        <f>IF(M5=$D$2,Consolidated!M7,SUM(M11:M21))</f>
        <v>238778.86072121022</v>
      </c>
      <c r="N10" s="212">
        <f>IF(N5=$D$2,Consolidated!N7,SUM(N11:N21))</f>
        <v>238778.86072121022</v>
      </c>
      <c r="O10" s="208">
        <f>IF(O5=$D$2,Consolidated!O7,SUM(O11:O21))</f>
        <v>238778.86072121022</v>
      </c>
      <c r="P10" s="208">
        <f>IF(P5=$D$2,Consolidated!P7,SUM(P11:P21))</f>
        <v>238778.86072121022</v>
      </c>
      <c r="Q10" s="215">
        <f>SUM(E10:P10)</f>
        <v>3160362.9836060507</v>
      </c>
      <c r="T10" s="330" t="s">
        <v>9</v>
      </c>
      <c r="U10" s="215">
        <f>Q10/$U$8</f>
        <v>263363.58196717087</v>
      </c>
    </row>
    <row r="11" spans="4:28">
      <c r="D11" s="219" t="s">
        <v>225</v>
      </c>
      <c r="E11" s="123">
        <f>CNS!B9</f>
        <v>175809.19999999995</v>
      </c>
      <c r="F11" s="6">
        <f>CNS!C9</f>
        <v>178265.28</v>
      </c>
      <c r="G11" s="6">
        <f>CNS!D9</f>
        <v>183175.54</v>
      </c>
      <c r="H11" s="123">
        <f>CNS!E9</f>
        <v>191954.82000000004</v>
      </c>
      <c r="I11" s="281">
        <f>IF(I5=$D$2,CNS!F9,'Orçamento 2026'!G32)</f>
        <v>192414.30000000002</v>
      </c>
      <c r="J11" s="281">
        <f>IF(J5=$D$2,CNS!G9,'Orçamento 2026'!H32)</f>
        <v>187551.84000000005</v>
      </c>
      <c r="K11" s="282">
        <f>IF(K5=$D$2,CNS!H9,'Orçamento 2026'!I32)</f>
        <v>175356.62000000002</v>
      </c>
      <c r="L11" s="281">
        <f>IF(L5=$D$2,CNS!I9,'Orçamento 2026'!J32)</f>
        <v>141018.49986202299</v>
      </c>
      <c r="M11" s="281">
        <f>IF(M5=$D$2,CNS!J9,'Orçamento 2026'!K32)</f>
        <v>141018.49986202299</v>
      </c>
      <c r="N11" s="282">
        <f>IF(N5=$D$2,CNS!K9,'Orçamento 2026'!L32)</f>
        <v>141018.49986202299</v>
      </c>
      <c r="O11" s="281">
        <f>IF(O5=$D$2,CNS!L9,'Orçamento 2026'!M32)</f>
        <v>141018.49986202299</v>
      </c>
      <c r="P11" s="281">
        <f>IF(P5=$D$2,CNS!M9,'Orçamento 2026'!N32)</f>
        <v>141018.49986202299</v>
      </c>
      <c r="Q11" s="9">
        <f>SUM(E11:P11)</f>
        <v>1989620.099310115</v>
      </c>
      <c r="R11" s="229">
        <f>Q11/$Q$10</f>
        <v>0.62955429791799111</v>
      </c>
      <c r="T11" s="219" t="s">
        <v>225</v>
      </c>
      <c r="U11" s="9">
        <f t="shared" ref="U11:U56" si="1">Q11/$U$8</f>
        <v>165801.67494250959</v>
      </c>
    </row>
    <row r="12" spans="4:28">
      <c r="D12" s="219" t="s">
        <v>236</v>
      </c>
      <c r="E12" s="123">
        <f>CNS!B10</f>
        <v>14700</v>
      </c>
      <c r="F12" s="6">
        <f>CNS!C10</f>
        <v>18900</v>
      </c>
      <c r="G12" s="6">
        <f>CNS!D10</f>
        <v>10400</v>
      </c>
      <c r="H12" s="123">
        <f>CNS!E10</f>
        <v>6500</v>
      </c>
      <c r="I12" s="281">
        <f>IF(I5=$D$2,CNS!F10,'Orçamento 2026'!G33)</f>
        <v>6500</v>
      </c>
      <c r="J12" s="281" t="str">
        <f>IF(J5=$D$2,CNS!G10,'Orçamento 2026'!H33)</f>
        <v>0,00</v>
      </c>
      <c r="K12" s="282">
        <f>IF(K5=$D$2,CNS!H10,'Orçamento 2026'!I33)</f>
        <v>18270</v>
      </c>
      <c r="L12" s="281">
        <f>IF(L5=$D$2,CNS!I10,'Orçamento 2026'!J33)</f>
        <v>10265.66119721786</v>
      </c>
      <c r="M12" s="281">
        <f>IF(M5=$D$2,CNS!J10,'Orçamento 2026'!K33)</f>
        <v>10265.66119721786</v>
      </c>
      <c r="N12" s="282">
        <f>IF(N5=$D$2,CNS!K10,'Orçamento 2026'!L33)</f>
        <v>10265.66119721786</v>
      </c>
      <c r="O12" s="281">
        <f>IF(O5=$D$2,CNS!L10,'Orçamento 2026'!M33)</f>
        <v>10265.66119721786</v>
      </c>
      <c r="P12" s="281">
        <f>IF(P5=$D$2,CNS!M10,'Orçamento 2026'!N33)</f>
        <v>10265.66119721786</v>
      </c>
      <c r="Q12" s="9">
        <f t="shared" ref="Q12:Q55" si="2">SUM(E12:P12)</f>
        <v>126598.30598608933</v>
      </c>
      <c r="R12" s="229">
        <f t="shared" ref="R12:R22" si="3">Q12/$Q$10</f>
        <v>4.0058153649691716E-2</v>
      </c>
      <c r="T12" s="219" t="s">
        <v>236</v>
      </c>
      <c r="U12" s="9">
        <f t="shared" si="1"/>
        <v>10549.85883217411</v>
      </c>
      <c r="Y12" s="273"/>
      <c r="Z12" s="273"/>
      <c r="AA12" s="273"/>
      <c r="AB12" s="273"/>
    </row>
    <row r="13" spans="4:28">
      <c r="D13" s="219" t="s">
        <v>394</v>
      </c>
      <c r="E13" s="123">
        <f>CNS!B11</f>
        <v>34000</v>
      </c>
      <c r="F13" s="6">
        <f>CNS!C11</f>
        <v>34000</v>
      </c>
      <c r="G13" s="6">
        <f>CNS!D11</f>
        <v>34000</v>
      </c>
      <c r="H13" s="123" t="str">
        <f>CNS!E11</f>
        <v>0,00</v>
      </c>
      <c r="I13" s="281">
        <f>IF(I5=$D$2,CNS!F11,'Orçamento 2026'!G34)</f>
        <v>34000</v>
      </c>
      <c r="J13" s="281">
        <f>IF(J5=$D$2,CNS!G11,'Orçamento 2026'!H34)</f>
        <v>83700</v>
      </c>
      <c r="K13" s="282">
        <f>IF(K5=$D$2,CNS!H11,'Orçamento 2026'!I34)</f>
        <v>34000</v>
      </c>
      <c r="L13" s="281">
        <f>IF(L5=$D$2,CNS!I11,'Orçamento 2026'!J34)</f>
        <v>34000</v>
      </c>
      <c r="M13" s="281">
        <f>IF(M5=$D$2,CNS!J11,'Orçamento 2026'!K34)</f>
        <v>34000</v>
      </c>
      <c r="N13" s="282">
        <f>IF(N5=$D$2,CNS!K11,'Orçamento 2026'!L34)</f>
        <v>34000</v>
      </c>
      <c r="O13" s="281">
        <f>IF(O5=$D$2,CNS!L11,'Orçamento 2026'!M34)</f>
        <v>34000</v>
      </c>
      <c r="P13" s="281">
        <f>IF(P5=$D$2,CNS!M11,'Orçamento 2026'!N34)</f>
        <v>34000</v>
      </c>
      <c r="Q13" s="9">
        <f t="shared" si="2"/>
        <v>423700</v>
      </c>
      <c r="R13" s="229">
        <f t="shared" si="3"/>
        <v>0.13406687845601459</v>
      </c>
      <c r="T13" s="219" t="s">
        <v>394</v>
      </c>
      <c r="U13" s="9">
        <f t="shared" si="1"/>
        <v>35308.333333333336</v>
      </c>
    </row>
    <row r="14" spans="4:28">
      <c r="D14" s="219" t="s">
        <v>557</v>
      </c>
      <c r="E14" s="123">
        <f>CNS!B12</f>
        <v>15346</v>
      </c>
      <c r="F14" s="6">
        <f>CNS!C12</f>
        <v>18715.86</v>
      </c>
      <c r="G14" s="6" t="str">
        <f>CNS!D12</f>
        <v>0,00</v>
      </c>
      <c r="H14" s="123">
        <f>CNS!E12</f>
        <v>30425.54</v>
      </c>
      <c r="I14" s="281" t="str">
        <f>IF(I5=$D$2,CNS!F12,'Orçamento 2026'!G35)</f>
        <v>0,00</v>
      </c>
      <c r="J14" s="281">
        <f>IF(J5=$D$2,CNS!G12,'Orçamento 2026'!H35)</f>
        <v>6238.62</v>
      </c>
      <c r="K14" s="282" t="str">
        <f>IF(K5=$D$2,CNS!H12,'Orçamento 2026'!I35)</f>
        <v>0,00</v>
      </c>
      <c r="L14" s="281">
        <f>IF(L5=$D$2,CNS!I12,'Orçamento 2026'!J35)</f>
        <v>21495.8</v>
      </c>
      <c r="M14" s="281">
        <f>IF(M5=$D$2,CNS!J12,'Orçamento 2026'!K35)</f>
        <v>21495.8</v>
      </c>
      <c r="N14" s="282">
        <f>IF(N5=$D$2,CNS!K12,'Orçamento 2026'!L35)</f>
        <v>21495.8</v>
      </c>
      <c r="O14" s="281">
        <f>IF(O5=$D$2,CNS!L12,'Orçamento 2026'!M35)</f>
        <v>21495.8</v>
      </c>
      <c r="P14" s="281">
        <f>IF(P5=$D$2,CNS!M12,'Orçamento 2026'!N35)</f>
        <v>21495.8</v>
      </c>
      <c r="Q14" s="9">
        <f t="shared" si="2"/>
        <v>178205.02</v>
      </c>
      <c r="R14" s="229">
        <f t="shared" si="3"/>
        <v>5.6387516536680782E-2</v>
      </c>
      <c r="T14" s="219" t="s">
        <v>557</v>
      </c>
      <c r="U14" s="9">
        <f t="shared" si="1"/>
        <v>14850.418333333333</v>
      </c>
    </row>
    <row r="15" spans="4:28">
      <c r="D15" s="219" t="s">
        <v>558</v>
      </c>
      <c r="E15" s="123" t="str">
        <f>CNS!B13</f>
        <v>0,00</v>
      </c>
      <c r="F15" s="6">
        <f>CNS!C13</f>
        <v>750</v>
      </c>
      <c r="G15" s="6">
        <f>CNS!D13</f>
        <v>600</v>
      </c>
      <c r="H15" s="123">
        <f>CNS!E13</f>
        <v>1200</v>
      </c>
      <c r="I15" s="6" t="str">
        <f>IF(I5=$D$2,CNS!F13,0)</f>
        <v>0,00</v>
      </c>
      <c r="J15" s="6" t="str">
        <f>IF(J5=$D$2,CNS!G13,0)</f>
        <v>0,00</v>
      </c>
      <c r="K15" s="123" t="str">
        <f>IF(K5=$D$2,CNS!H13,0)</f>
        <v>0,00</v>
      </c>
      <c r="L15" s="6">
        <f>IF(L5=$D$2,CNS!I13,0)</f>
        <v>0</v>
      </c>
      <c r="M15" s="6">
        <f>IF(M5=$D$2,CNS!J13,0)</f>
        <v>0</v>
      </c>
      <c r="N15" s="123">
        <f>IF(N5=$D$2,CNS!K13,0)</f>
        <v>0</v>
      </c>
      <c r="O15" s="6">
        <f>IF(O5=$D$2,CNS!L13,0)</f>
        <v>0</v>
      </c>
      <c r="P15" s="6">
        <f>IF(P5=$D$2,CNS!M13,0)</f>
        <v>0</v>
      </c>
      <c r="Q15" s="9">
        <f t="shared" si="2"/>
        <v>2550</v>
      </c>
      <c r="R15" s="229">
        <f t="shared" si="3"/>
        <v>8.0686934166352884E-4</v>
      </c>
      <c r="T15" s="219" t="s">
        <v>558</v>
      </c>
      <c r="U15" s="9">
        <f t="shared" si="1"/>
        <v>212.5</v>
      </c>
    </row>
    <row r="16" spans="4:28">
      <c r="D16" s="219" t="s">
        <v>559</v>
      </c>
      <c r="E16" s="123">
        <f>CNS!B14</f>
        <v>0</v>
      </c>
      <c r="F16" s="6" t="str">
        <f>CNS!C14</f>
        <v>0,00</v>
      </c>
      <c r="G16" s="6" t="str">
        <f>CNS!D14</f>
        <v>0,00</v>
      </c>
      <c r="H16" s="123" t="str">
        <f>CNS!E14</f>
        <v>0,00</v>
      </c>
      <c r="I16" s="6" t="str">
        <f>IF(I5=$D$2,CNS!F14,0)</f>
        <v>0,00</v>
      </c>
      <c r="J16" s="6" t="str">
        <f>IF(J5=$D$2,CNS!G14,0)</f>
        <v>0,00</v>
      </c>
      <c r="K16" s="123" t="str">
        <f>IF(K5=$D$2,CNS!H14,0)</f>
        <v>0,00</v>
      </c>
      <c r="L16" s="6">
        <f>IF(L5=$D$2,CNS!I14,0)</f>
        <v>0</v>
      </c>
      <c r="M16" s="6">
        <f>IF(M5=$D$2,CNS!J14,0)</f>
        <v>0</v>
      </c>
      <c r="N16" s="123">
        <f>IF(N5=$D$2,CNS!K14,0)</f>
        <v>0</v>
      </c>
      <c r="O16" s="6">
        <f>IF(O5=$D$2,CNS!L14,0)</f>
        <v>0</v>
      </c>
      <c r="P16" s="6">
        <f>IF(P5=$D$2,CNS!M14,0)</f>
        <v>0</v>
      </c>
      <c r="Q16" s="9">
        <f t="shared" si="2"/>
        <v>0</v>
      </c>
      <c r="R16" s="229">
        <f t="shared" si="3"/>
        <v>0</v>
      </c>
      <c r="T16" s="219" t="s">
        <v>559</v>
      </c>
      <c r="U16" s="9">
        <f t="shared" si="1"/>
        <v>0</v>
      </c>
    </row>
    <row r="17" spans="4:27">
      <c r="D17" s="219" t="s">
        <v>560</v>
      </c>
      <c r="E17" s="123">
        <f>CRR!B9</f>
        <v>2129.2399999999998</v>
      </c>
      <c r="F17" s="6">
        <f>CRR!C9</f>
        <v>4080.01</v>
      </c>
      <c r="G17" s="6">
        <f>CRR!D9</f>
        <v>7882.59</v>
      </c>
      <c r="H17" s="123">
        <f>CRR!E9</f>
        <v>3358.51</v>
      </c>
      <c r="I17" s="281">
        <f>IF(I5=$D$2,CRR!F9,'Orçamento 2026'!G36)</f>
        <v>4335.0199999999995</v>
      </c>
      <c r="J17" s="281" t="str">
        <f>IF(J5=$D$2,CRR!G9,'Orçamento 2026'!H36)</f>
        <v>0,00</v>
      </c>
      <c r="K17" s="282">
        <f>IF(K5=$D$2,CRR!H9,'Orçamento 2026'!I36)</f>
        <v>5592.59</v>
      </c>
      <c r="L17" s="281">
        <f>IF(L5=$D$2,CRR!I9,'Orçamento 2026'!J36)</f>
        <v>31998.899661969401</v>
      </c>
      <c r="M17" s="281">
        <f>IF(M5=$D$2,CRR!J9,'Orçamento 2026'!K36)</f>
        <v>31998.899661969401</v>
      </c>
      <c r="N17" s="282">
        <f>IF(N5=$D$2,CRR!K9,'Orçamento 2026'!L36)</f>
        <v>31998.899661969401</v>
      </c>
      <c r="O17" s="281">
        <f>IF(O5=$D$2,CRR!L9,'Orçamento 2026'!M36)</f>
        <v>31998.899661969401</v>
      </c>
      <c r="P17" s="281">
        <f>IF(P5=$D$2,CRR!M9,'Orçamento 2026'!N36)</f>
        <v>31998.899661969401</v>
      </c>
      <c r="Q17" s="9">
        <f t="shared" si="2"/>
        <v>187372.45830984699</v>
      </c>
      <c r="R17" s="229">
        <f t="shared" si="3"/>
        <v>5.9288271404840491E-2</v>
      </c>
      <c r="T17" s="219" t="s">
        <v>560</v>
      </c>
      <c r="U17" s="9">
        <f t="shared" si="1"/>
        <v>15614.371525820583</v>
      </c>
    </row>
    <row r="18" spans="4:27">
      <c r="D18" s="219" t="s">
        <v>24</v>
      </c>
      <c r="E18" s="123">
        <f>CRR!B10</f>
        <v>11277.599999999999</v>
      </c>
      <c r="F18" s="6">
        <f>CRR!C10</f>
        <v>11277.599999999999</v>
      </c>
      <c r="G18" s="6">
        <f>CRR!D10</f>
        <v>11277.599999999999</v>
      </c>
      <c r="H18" s="123">
        <f>CRR!E10</f>
        <v>11277.599999999999</v>
      </c>
      <c r="I18" s="6">
        <f>IF(I5=$D$2,CRR!F10,0)</f>
        <v>11277.599999999999</v>
      </c>
      <c r="J18" s="6" t="str">
        <f>IF(J5=$D$2,CRR!G10,0)</f>
        <v>0,00</v>
      </c>
      <c r="K18" s="123">
        <f>IF(K5=$D$2,CRR!H10,0)</f>
        <v>17767.199999999997</v>
      </c>
      <c r="L18" s="6">
        <f>IF(L5=$D$2,CRR!I10,0)</f>
        <v>0</v>
      </c>
      <c r="M18" s="6">
        <f>IF(M5=$D$2,CRR!J10,0)</f>
        <v>0</v>
      </c>
      <c r="N18" s="123">
        <f>IF(N5=$D$2,CRR!K10,0)</f>
        <v>0</v>
      </c>
      <c r="O18" s="6">
        <f>IF(O5=$D$2,CRR!L10,0)</f>
        <v>0</v>
      </c>
      <c r="P18" s="6">
        <f>IF(P5=$D$2,CRR!M10,0)</f>
        <v>0</v>
      </c>
      <c r="Q18" s="9">
        <f t="shared" si="2"/>
        <v>74155.199999999983</v>
      </c>
      <c r="R18" s="229">
        <f t="shared" si="3"/>
        <v>2.346414015879502E-2</v>
      </c>
      <c r="T18" s="219" t="s">
        <v>24</v>
      </c>
      <c r="U18" s="9">
        <f t="shared" si="1"/>
        <v>6179.5999999999985</v>
      </c>
    </row>
    <row r="19" spans="4:27">
      <c r="D19" s="219" t="s">
        <v>561</v>
      </c>
      <c r="E19" s="123">
        <f>CRR!B11</f>
        <v>4958.3600000000006</v>
      </c>
      <c r="F19" s="6">
        <f>CRR!C11</f>
        <v>4860.2800000000007</v>
      </c>
      <c r="G19" s="6">
        <f>CRR!D11</f>
        <v>6325.2800000000016</v>
      </c>
      <c r="H19" s="123">
        <f>CRR!E11</f>
        <v>5913.91</v>
      </c>
      <c r="I19" s="6">
        <f>IF(I5=$D$2,CRR!F11,0)</f>
        <v>2187.119999999999</v>
      </c>
      <c r="J19" s="6">
        <f>IF(J5=$D$2,CRR!G11,0)</f>
        <v>3486.4800000000005</v>
      </c>
      <c r="K19" s="123">
        <f>IF(K5=$D$2,CRR!H11,0)</f>
        <v>3208.11</v>
      </c>
      <c r="L19" s="6">
        <f>IF(L5=$D$2,CRR!I11,0)</f>
        <v>0</v>
      </c>
      <c r="M19" s="6">
        <f>IF(M5=$D$2,CRR!J11,0)</f>
        <v>0</v>
      </c>
      <c r="N19" s="123">
        <f>IF(N5=$D$2,CRR!K11,0)</f>
        <v>0</v>
      </c>
      <c r="O19" s="6">
        <f>IF(O5=$D$2,CRR!L11,0)</f>
        <v>0</v>
      </c>
      <c r="P19" s="6">
        <f>IF(P5=$D$2,CRR!M11,0)</f>
        <v>0</v>
      </c>
      <c r="Q19" s="9">
        <f t="shared" si="2"/>
        <v>30939.54</v>
      </c>
      <c r="R19" s="229">
        <f t="shared" si="3"/>
        <v>9.7898691259499689E-3</v>
      </c>
      <c r="T19" s="219" t="s">
        <v>561</v>
      </c>
      <c r="U19" s="9">
        <f t="shared" si="1"/>
        <v>2578.2950000000001</v>
      </c>
    </row>
    <row r="20" spans="4:27">
      <c r="D20" s="219" t="s">
        <v>245</v>
      </c>
      <c r="E20" s="123">
        <f>CRR!B12</f>
        <v>20365.39</v>
      </c>
      <c r="F20" s="6">
        <f>CRR!C12</f>
        <v>11096.949999999997</v>
      </c>
      <c r="G20" s="6">
        <f>CRR!D12</f>
        <v>13782.609999999993</v>
      </c>
      <c r="H20" s="123">
        <f>CRR!E12</f>
        <v>11693.059999999998</v>
      </c>
      <c r="I20" s="6">
        <f>IF(I5=$D$2,CRR!F12,0)</f>
        <v>19858.710000000003</v>
      </c>
      <c r="J20" s="6">
        <f>IF(J5=$D$2,CRR!G12,0)</f>
        <v>16176.26</v>
      </c>
      <c r="K20" s="123">
        <f>IF(K5=$D$2,CRR!H12,0)</f>
        <v>19179.52</v>
      </c>
      <c r="L20" s="6">
        <f>IF(L5=$D$2,CRR!I12,0)</f>
        <v>0</v>
      </c>
      <c r="M20" s="6">
        <f>IF(M5=$D$2,CRR!J12,0)</f>
        <v>0</v>
      </c>
      <c r="N20" s="123">
        <f>IF(N5=$D$2,CRR!K12,0)</f>
        <v>0</v>
      </c>
      <c r="O20" s="6">
        <f>IF(O5=$D$2,CRR!L12,0)</f>
        <v>0</v>
      </c>
      <c r="P20" s="6">
        <f>IF(P5=$D$2,CRR!M12,0)</f>
        <v>0</v>
      </c>
      <c r="Q20" s="9">
        <f t="shared" si="2"/>
        <v>112152.49999999999</v>
      </c>
      <c r="R20" s="229">
        <f t="shared" si="3"/>
        <v>3.5487221114085844E-2</v>
      </c>
      <c r="T20" s="219" t="s">
        <v>245</v>
      </c>
      <c r="U20" s="9">
        <f t="shared" si="1"/>
        <v>9346.0416666666661</v>
      </c>
    </row>
    <row r="21" spans="4:27">
      <c r="D21" s="219" t="s">
        <v>562</v>
      </c>
      <c r="E21" s="123">
        <f>CRR!B13</f>
        <v>3858.1399999999994</v>
      </c>
      <c r="F21" s="6">
        <f>CRR!C13</f>
        <v>3050.2599999999998</v>
      </c>
      <c r="G21" s="6">
        <f>CRR!D13</f>
        <v>5352.73</v>
      </c>
      <c r="H21" s="123">
        <f>CRR!E13</f>
        <v>4397.1899999999987</v>
      </c>
      <c r="I21" s="6">
        <f>IF(I5=$D$2,CRR!F13,0)</f>
        <v>6761.829999999999</v>
      </c>
      <c r="J21" s="6">
        <f>IF(J5=$D$2,CRR!G13,0)</f>
        <v>4404.6699999999992</v>
      </c>
      <c r="K21" s="123">
        <f>IF(K5=$D$2,CRR!H13,0)</f>
        <v>7245.0400000000027</v>
      </c>
      <c r="L21" s="6">
        <f>IF(L5=$D$2,CRR!I13,0)</f>
        <v>0</v>
      </c>
      <c r="M21" s="6">
        <f>IF(M5=$D$2,CRR!J13,0)</f>
        <v>0</v>
      </c>
      <c r="N21" s="123">
        <f>IF(N5=$D$2,CRR!K13,0)</f>
        <v>0</v>
      </c>
      <c r="O21" s="6">
        <f>IF(O5=$D$2,CRR!L13,0)</f>
        <v>0</v>
      </c>
      <c r="P21" s="6">
        <f>IF(P5=$D$2,CRR!M13,0)</f>
        <v>0</v>
      </c>
      <c r="Q21" s="9">
        <f t="shared" si="2"/>
        <v>35069.86</v>
      </c>
      <c r="R21" s="229">
        <f t="shared" si="3"/>
        <v>1.1096782294287108E-2</v>
      </c>
      <c r="T21" s="219" t="s">
        <v>562</v>
      </c>
      <c r="U21" s="9">
        <f t="shared" si="1"/>
        <v>2922.4883333333332</v>
      </c>
    </row>
    <row r="22" spans="4:27" hidden="1">
      <c r="D22" s="219" t="s">
        <v>10</v>
      </c>
      <c r="E22" s="123"/>
      <c r="F22" s="6"/>
      <c r="G22" s="6"/>
      <c r="H22" s="123"/>
      <c r="I22" s="6"/>
      <c r="J22" s="6"/>
      <c r="K22" s="123"/>
      <c r="L22" s="6"/>
      <c r="M22" s="6"/>
      <c r="N22" s="123"/>
      <c r="O22" s="6"/>
      <c r="P22" s="6"/>
      <c r="Q22" s="9">
        <f t="shared" si="2"/>
        <v>0</v>
      </c>
      <c r="R22" s="229">
        <f t="shared" si="3"/>
        <v>0</v>
      </c>
      <c r="T22" s="219" t="s">
        <v>10</v>
      </c>
      <c r="U22" s="9">
        <f t="shared" si="1"/>
        <v>0</v>
      </c>
    </row>
    <row r="23" spans="4:27">
      <c r="D23" s="220" t="s">
        <v>11</v>
      </c>
      <c r="E23" s="122">
        <f>CNS!B16+CRR!B15</f>
        <v>-198816.65000000002</v>
      </c>
      <c r="F23" s="10">
        <f>CNS!C16+CRR!C15</f>
        <v>-126321.09</v>
      </c>
      <c r="G23" s="10">
        <f>CNS!D16+CRR!D15</f>
        <v>-138181.44</v>
      </c>
      <c r="H23" s="122">
        <f>CNS!E16+CRR!E15</f>
        <v>-196414.43999999997</v>
      </c>
      <c r="I23" s="10">
        <f>IF(I5=$D$2,Consolidated!I20,SUM(Projeção!I24:I29))</f>
        <v>-128726.11000000002</v>
      </c>
      <c r="J23" s="10">
        <f>IF(J5=$D$2,Consolidated!J20,SUM(Projeção!J24:J29))</f>
        <v>-128056.72000000002</v>
      </c>
      <c r="K23" s="122">
        <f>IF(K5=$D$2,Consolidated!K20,SUM(Projeção!K24:K29))</f>
        <v>-195285.63</v>
      </c>
      <c r="L23" s="10">
        <f>IF(L5=$D$2,Consolidated!L20,SUM(Projeção!L24:L29))</f>
        <v>-113498.36411108983</v>
      </c>
      <c r="M23" s="10">
        <f>IF(M5=$D$2,Consolidated!M20,SUM(Projeção!M24:M29))</f>
        <v>-113498.36411108983</v>
      </c>
      <c r="N23" s="122">
        <f>IF(N5=$D$2,Consolidated!N20,SUM(Projeção!N24:N29))</f>
        <v>-158696.954149269</v>
      </c>
      <c r="O23" s="10">
        <f>IF(O5=$D$2,Consolidated!O20,SUM(Projeção!O24:O29))</f>
        <v>-113498.36411108983</v>
      </c>
      <c r="P23" s="10">
        <f>IF(P5=$D$2,Consolidated!P20,SUM(Projeção!P24:P29))</f>
        <v>-113498.36411108983</v>
      </c>
      <c r="Q23" s="11">
        <f t="shared" si="2"/>
        <v>-1724492.4905936285</v>
      </c>
      <c r="R23" s="230">
        <f>Q23/$Q$10</f>
        <v>-0.54566279238783544</v>
      </c>
      <c r="T23" s="221" t="s">
        <v>11</v>
      </c>
      <c r="U23" s="11">
        <f t="shared" si="1"/>
        <v>-143707.70754946905</v>
      </c>
    </row>
    <row r="24" spans="4:27">
      <c r="D24" s="219" t="s">
        <v>12</v>
      </c>
      <c r="E24" s="123">
        <f>CNS!B17+CRR!B16</f>
        <v>-101514.6</v>
      </c>
      <c r="F24" s="6">
        <f>CNS!C17+CRR!C16</f>
        <v>-24032.34</v>
      </c>
      <c r="G24" s="6">
        <f>CNS!D17+CRR!D16</f>
        <v>-27344.44</v>
      </c>
      <c r="H24" s="123">
        <f>CNS!E17+CRR!E16</f>
        <v>-89882.16</v>
      </c>
      <c r="I24" s="281">
        <f>IF(I5=$D$2,Consolidated!I21,'Orçamento 2026'!G39+'Orçamento 2026'!G40)</f>
        <v>-23264.240000000002</v>
      </c>
      <c r="J24" s="281">
        <f>IF(J5=$D$2,Consolidated!J21,'Orçamento 2026'!H39+'Orçamento 2026'!H40)</f>
        <v>-25174.57</v>
      </c>
      <c r="K24" s="282">
        <f>IF(K5=$D$2,Consolidated!K21,'Orçamento 2026'!I39+'Orçamento 2026'!I40)</f>
        <v>-108615.34</v>
      </c>
      <c r="L24" s="281">
        <f>IF(L5=$D$2,Consolidated!L21,'Orçamento 2026'!J39+'Orçamento 2026'!J40)</f>
        <v>-33429.040500969437</v>
      </c>
      <c r="M24" s="281">
        <f>IF(M5=$D$2,Consolidated!M21,'Orçamento 2026'!K39+'Orçamento 2026'!K40)</f>
        <v>-33429.040500969437</v>
      </c>
      <c r="N24" s="282">
        <f>IF(N5=$D$2,Consolidated!N21,'Orçamento 2026'!L39+'Orçamento 2026'!L40)</f>
        <v>-78627.63053914858</v>
      </c>
      <c r="O24" s="281">
        <f>IF(O5=$D$2,Consolidated!O21,'Orçamento 2026'!M39+'Orçamento 2026'!M40)</f>
        <v>-33429.040500969437</v>
      </c>
      <c r="P24" s="281">
        <f>IF(P5=$D$2,Consolidated!P21,'Orçamento 2026'!N39+'Orçamento 2026'!N40)</f>
        <v>-33429.040500969437</v>
      </c>
      <c r="Q24" s="9">
        <f t="shared" si="2"/>
        <v>-612171.48254302633</v>
      </c>
      <c r="R24" s="230">
        <f>Q24/$Q$10</f>
        <v>-0.19370290239399141</v>
      </c>
      <c r="T24" s="219" t="s">
        <v>12</v>
      </c>
      <c r="U24" s="9">
        <f t="shared" si="1"/>
        <v>-51014.290211918858</v>
      </c>
      <c r="X24" s="273"/>
      <c r="Y24" s="273"/>
      <c r="Z24" s="273"/>
      <c r="AA24" s="273"/>
    </row>
    <row r="25" spans="4:27">
      <c r="D25" s="219" t="s">
        <v>516</v>
      </c>
      <c r="E25" s="123">
        <f>CNS!B18+CRR!B17</f>
        <v>-89450.63</v>
      </c>
      <c r="F25" s="6">
        <f>CNS!C18+CRR!C17</f>
        <v>-91876.31</v>
      </c>
      <c r="G25" s="6">
        <f>CNS!D18+CRR!D17</f>
        <v>-98268.03</v>
      </c>
      <c r="H25" s="123">
        <f>CNS!E18+CRR!E17</f>
        <v>-95663.760000000009</v>
      </c>
      <c r="I25" s="281">
        <f>IF(I5=$D$2,Consolidated!I22,'Orçamento 2026'!G41)</f>
        <v>-91912.330000000016</v>
      </c>
      <c r="J25" s="281">
        <f>IF(J5=$D$2,Consolidated!J22,'Orçamento 2026'!H41)</f>
        <v>-94864.35</v>
      </c>
      <c r="K25" s="282">
        <f>IF(K5=$D$2,Consolidated!K22,'Orçamento 2026'!I41)</f>
        <v>-78269.48</v>
      </c>
      <c r="L25" s="281">
        <f>IF(L5=$D$2,Consolidated!L22,'Orçamento 2026'!J41)</f>
        <v>-78811.716110120396</v>
      </c>
      <c r="M25" s="281">
        <f>IF(M5=$D$2,Consolidated!M22,'Orçamento 2026'!K41)</f>
        <v>-78811.716110120396</v>
      </c>
      <c r="N25" s="282">
        <f>IF(N5=$D$2,Consolidated!N22,'Orçamento 2026'!L41)</f>
        <v>-78811.716110120396</v>
      </c>
      <c r="O25" s="281">
        <f>IF(O5=$D$2,Consolidated!O22,'Orçamento 2026'!M41)</f>
        <v>-78811.716110120396</v>
      </c>
      <c r="P25" s="281">
        <f>IF(P5=$D$2,Consolidated!P22,'Orçamento 2026'!N41)</f>
        <v>-78811.716110120396</v>
      </c>
      <c r="Q25" s="9">
        <f t="shared" si="2"/>
        <v>-1034363.4705506021</v>
      </c>
      <c r="R25" s="230">
        <f t="shared" ref="R25:R29" si="4">Q25/$Q$10</f>
        <v>-0.32729261667606557</v>
      </c>
      <c r="T25" s="219" t="s">
        <v>516</v>
      </c>
      <c r="U25" s="9">
        <f t="shared" si="1"/>
        <v>-86196.955879216839</v>
      </c>
    </row>
    <row r="26" spans="4:27">
      <c r="D26" s="219" t="s">
        <v>515</v>
      </c>
      <c r="E26" s="123">
        <f>CNS!B19+CRR!B18</f>
        <v>-5749.27</v>
      </c>
      <c r="F26" s="6">
        <f>CNS!C19+CRR!C18</f>
        <v>-5695.28</v>
      </c>
      <c r="G26" s="6">
        <f>CNS!D19+CRR!D18</f>
        <v>-7461.4</v>
      </c>
      <c r="H26" s="123">
        <f>CNS!E19+CRR!E18</f>
        <v>-5965.22</v>
      </c>
      <c r="I26" s="6">
        <f>IF(I5=$D$2,Consolidated!I23,0)</f>
        <v>-8479.8700000000008</v>
      </c>
      <c r="J26" s="6">
        <f>IF(J5=$D$2,Consolidated!J23,0)</f>
        <v>-6239.61</v>
      </c>
      <c r="K26" s="123">
        <f>IF(K5=$D$2,Consolidated!K23,0)</f>
        <v>-6458.99</v>
      </c>
      <c r="L26" s="6">
        <f>IF(L5=$D$2,Consolidated!L23,0)</f>
        <v>0</v>
      </c>
      <c r="M26" s="6">
        <f>IF(M5=$D$2,Consolidated!M23,0)</f>
        <v>0</v>
      </c>
      <c r="N26" s="123">
        <f>IF(N5=$D$2,Consolidated!N23,0)</f>
        <v>0</v>
      </c>
      <c r="O26" s="6">
        <f>IF(O5=$D$2,Consolidated!O23,0)</f>
        <v>0</v>
      </c>
      <c r="P26" s="6">
        <f>IF(P5=$D$2,Consolidated!P23,0)</f>
        <v>0</v>
      </c>
      <c r="Q26" s="9">
        <f t="shared" si="2"/>
        <v>-46049.64</v>
      </c>
      <c r="R26" s="230">
        <f t="shared" si="4"/>
        <v>-1.4570997141428434E-2</v>
      </c>
      <c r="T26" s="219" t="s">
        <v>515</v>
      </c>
      <c r="U26" s="9">
        <f t="shared" si="1"/>
        <v>-3837.47</v>
      </c>
    </row>
    <row r="27" spans="4:27">
      <c r="D27" s="219" t="s">
        <v>514</v>
      </c>
      <c r="E27" s="123">
        <f>CNS!B20+CRR!B19</f>
        <v>0</v>
      </c>
      <c r="F27" s="6">
        <f>CNS!C20+CRR!C19</f>
        <v>-2730</v>
      </c>
      <c r="G27" s="6">
        <f>CNS!D20+CRR!D19</f>
        <v>-420</v>
      </c>
      <c r="H27" s="123">
        <f>CNS!E20+CRR!E19</f>
        <v>-1880.43</v>
      </c>
      <c r="I27" s="281">
        <f>IF(I5=$D$2,Consolidated!I24,'Orçamento 2026'!G42)</f>
        <v>-840</v>
      </c>
      <c r="J27" s="281">
        <f>IF(J5=$D$2,Consolidated!J24,'Orçamento 2026'!H42)</f>
        <v>0</v>
      </c>
      <c r="K27" s="282">
        <f>IF(K5=$D$2,Consolidated!K24,'Orçamento 2026'!I42)</f>
        <v>0</v>
      </c>
      <c r="L27" s="281">
        <f>IF(L5=$D$2,Consolidated!L24,'Orçamento 2026'!J42)</f>
        <v>-1257.6075000000001</v>
      </c>
      <c r="M27" s="281">
        <f>IF(M5=$D$2,Consolidated!M24,'Orçamento 2026'!K42)</f>
        <v>-1257.6075000000001</v>
      </c>
      <c r="N27" s="282">
        <f>IF(N5=$D$2,Consolidated!N24,'Orçamento 2026'!L42)</f>
        <v>-1257.6075000000001</v>
      </c>
      <c r="O27" s="281">
        <f>IF(O5=$D$2,Consolidated!O24,'Orçamento 2026'!M42)</f>
        <v>-1257.6075000000001</v>
      </c>
      <c r="P27" s="281">
        <f>IF(P5=$D$2,Consolidated!P24,'Orçamento 2026'!N42)</f>
        <v>-1257.6075000000001</v>
      </c>
      <c r="Q27" s="9">
        <f t="shared" si="2"/>
        <v>-12158.467500000001</v>
      </c>
      <c r="R27" s="230">
        <f t="shared" si="4"/>
        <v>-3.8471743793578087E-3</v>
      </c>
      <c r="T27" s="219" t="s">
        <v>514</v>
      </c>
      <c r="U27" s="9">
        <f t="shared" si="1"/>
        <v>-1013.2056250000001</v>
      </c>
    </row>
    <row r="28" spans="4:27">
      <c r="D28" s="219" t="s">
        <v>513</v>
      </c>
      <c r="E28" s="123">
        <f>CNS!B21+CRR!B20</f>
        <v>-1163.7199999999998</v>
      </c>
      <c r="F28" s="6">
        <f>CNS!C21+CRR!C20</f>
        <v>-1319.6100000000001</v>
      </c>
      <c r="G28" s="6">
        <f>CNS!D21+CRR!D20</f>
        <v>-3923.6200000000008</v>
      </c>
      <c r="H28" s="123">
        <f>CNS!E21+CRR!E20</f>
        <v>-1950.6299999999999</v>
      </c>
      <c r="I28" s="281">
        <f>IF(I5=$D$2,Consolidated!I25,'Orçamento 2026'!G43)</f>
        <v>-3298.79</v>
      </c>
      <c r="J28" s="281">
        <f>CNS!G21+CRR!G20</f>
        <v>-1471.97</v>
      </c>
      <c r="K28" s="282">
        <f>CNS!H21+CRR!H20</f>
        <v>-55.4</v>
      </c>
      <c r="L28" s="281">
        <f>CNS!I21+CRR!I20</f>
        <v>0</v>
      </c>
      <c r="M28" s="281">
        <f>CNS!J21+CRR!J20</f>
        <v>0</v>
      </c>
      <c r="N28" s="282">
        <f>CNS!K21+CRR!K20</f>
        <v>0</v>
      </c>
      <c r="O28" s="281">
        <f>CNS!L21+CRR!L20</f>
        <v>0</v>
      </c>
      <c r="P28" s="281">
        <f>CNS!M21+CRR!M20</f>
        <v>0</v>
      </c>
      <c r="Q28" s="9">
        <f t="shared" si="2"/>
        <v>-13183.739999999998</v>
      </c>
      <c r="R28" s="230">
        <f t="shared" si="4"/>
        <v>-4.1715904370443644E-3</v>
      </c>
      <c r="T28" s="219" t="s">
        <v>513</v>
      </c>
      <c r="U28" s="9">
        <f t="shared" si="1"/>
        <v>-1098.6449999999998</v>
      </c>
    </row>
    <row r="29" spans="4:27">
      <c r="D29" s="219" t="s">
        <v>512</v>
      </c>
      <c r="E29" s="123">
        <f>CNS!B22+CRR!B21</f>
        <v>-938.43000000000006</v>
      </c>
      <c r="F29" s="6">
        <f>CNS!C22+CRR!C21</f>
        <v>-667.55</v>
      </c>
      <c r="G29" s="6">
        <f>CNS!D22+CRR!D21</f>
        <v>-763.95</v>
      </c>
      <c r="H29" s="123">
        <f>CNS!E22+CRR!E21</f>
        <v>-1072.24</v>
      </c>
      <c r="I29" s="6">
        <f>IF(I5=$D$2,Consolidated!I26,0)</f>
        <v>-930.88</v>
      </c>
      <c r="J29" s="6">
        <f>IF(J5=$D$2,Consolidated!J26,0)</f>
        <v>-306.22000000000003</v>
      </c>
      <c r="K29" s="123">
        <f>IF(K5=$D$2,Consolidated!K26,0)</f>
        <v>-1886.42</v>
      </c>
      <c r="L29" s="6">
        <f>IF(L5=$D$2,Consolidated!L26,0)</f>
        <v>0</v>
      </c>
      <c r="M29" s="6">
        <f>IF(M5=$D$2,Consolidated!M26,0)</f>
        <v>0</v>
      </c>
      <c r="N29" s="123">
        <f>IF(N5=$D$2,Consolidated!N26,0)</f>
        <v>0</v>
      </c>
      <c r="O29" s="6">
        <f>IF(O5=$D$2,Consolidated!O26,0)</f>
        <v>0</v>
      </c>
      <c r="P29" s="6">
        <f>IF(P5=$D$2,Consolidated!P26,0)</f>
        <v>0</v>
      </c>
      <c r="Q29" s="9">
        <f t="shared" si="2"/>
        <v>-6565.6900000000005</v>
      </c>
      <c r="R29" s="230">
        <f t="shared" si="4"/>
        <v>-2.0775113599477706E-3</v>
      </c>
      <c r="T29" s="219" t="s">
        <v>512</v>
      </c>
      <c r="U29" s="9">
        <f t="shared" si="1"/>
        <v>-547.14083333333338</v>
      </c>
    </row>
    <row r="30" spans="4:27">
      <c r="D30" s="218" t="s">
        <v>14</v>
      </c>
      <c r="E30" s="212">
        <f>CNS!B23+CRR!B22</f>
        <v>83627.28</v>
      </c>
      <c r="F30" s="208">
        <f>CNS!C23+CRR!C22</f>
        <v>158675.14999999997</v>
      </c>
      <c r="G30" s="208">
        <f>CNS!D23+CRR!D22</f>
        <v>134614.91000000012</v>
      </c>
      <c r="H30" s="212">
        <f>CNS!E23+CRR!E22</f>
        <v>70306.190000000104</v>
      </c>
      <c r="I30" s="208">
        <f>I10+I23</f>
        <v>148608.47</v>
      </c>
      <c r="J30" s="208">
        <f t="shared" ref="J30:P30" si="5">J10+J23</f>
        <v>173501.15000000002</v>
      </c>
      <c r="K30" s="212">
        <f t="shared" si="5"/>
        <v>85333.45000000007</v>
      </c>
      <c r="L30" s="208">
        <f t="shared" si="5"/>
        <v>125280.49661012039</v>
      </c>
      <c r="M30" s="208">
        <f t="shared" si="5"/>
        <v>125280.49661012039</v>
      </c>
      <c r="N30" s="212">
        <f t="shared" si="5"/>
        <v>80081.906571941217</v>
      </c>
      <c r="O30" s="208">
        <f t="shared" si="5"/>
        <v>125280.49661012039</v>
      </c>
      <c r="P30" s="208">
        <f t="shared" si="5"/>
        <v>125280.49661012039</v>
      </c>
      <c r="Q30" s="215">
        <f>SUM(E30:P30)</f>
        <v>1435870.4930124232</v>
      </c>
      <c r="R30" s="12">
        <f>Q30/$Q$10</f>
        <v>0.4543372076121649</v>
      </c>
      <c r="T30" s="330" t="s">
        <v>14</v>
      </c>
      <c r="U30" s="215">
        <f t="shared" si="1"/>
        <v>119655.87441770193</v>
      </c>
    </row>
    <row r="31" spans="4:27">
      <c r="D31" s="220" t="s">
        <v>15</v>
      </c>
      <c r="E31" s="122">
        <f>CNS!B24+CRR!B23</f>
        <v>-64960.260000000009</v>
      </c>
      <c r="F31" s="10">
        <f>CNS!C24+CRR!C23</f>
        <v>-61297.63</v>
      </c>
      <c r="G31" s="10">
        <f>CNS!D24+CRR!D23</f>
        <v>-67942.220000000016</v>
      </c>
      <c r="H31" s="122">
        <f>CNS!E24+CRR!E23</f>
        <v>-64575.130000000019</v>
      </c>
      <c r="I31" s="10">
        <f>IF(I5=$D$2,Consolidated!I28,'Orçamento 2026'!G45)</f>
        <v>-81372.890000000014</v>
      </c>
      <c r="J31" s="10">
        <f>IF(J5=$D$2,Consolidated!J28,'Orçamento 2026'!H45)</f>
        <v>-66612.710000000021</v>
      </c>
      <c r="K31" s="122">
        <f>IF(K5=$D$2,Consolidated!K28,'Orçamento 2026'!I45)</f>
        <v>-59682.890000000014</v>
      </c>
      <c r="L31" s="10">
        <f>IF(L5=$D$2,Consolidated!L28,'Orçamento 2026'!J45)</f>
        <v>-66746.218142725469</v>
      </c>
      <c r="M31" s="10">
        <f>IF(M5=$D$2,Consolidated!M28,'Orçamento 2026'!K45)</f>
        <v>-67044.687134110995</v>
      </c>
      <c r="N31" s="122">
        <f>IF(N5=$D$2,Consolidated!N28,'Orçamento 2026'!L45)</f>
        <v>-67344.490788962095</v>
      </c>
      <c r="O31" s="10">
        <f>IF(O5=$D$2,Consolidated!O28,'Orçamento 2026'!M45)</f>
        <v>-67645.635075491897</v>
      </c>
      <c r="P31" s="10">
        <f>IF(P5=$D$2,Consolidated!P28,'Orçamento 2026'!N45)</f>
        <v>-67948.125988601663</v>
      </c>
      <c r="Q31" s="11">
        <f t="shared" si="2"/>
        <v>-803172.88712989213</v>
      </c>
      <c r="R31" s="230">
        <f>Q31/$Q$10</f>
        <v>-0.2541394426198007</v>
      </c>
      <c r="T31" s="221" t="s">
        <v>15</v>
      </c>
      <c r="U31" s="11">
        <f t="shared" si="1"/>
        <v>-66931.073927491016</v>
      </c>
    </row>
    <row r="32" spans="4:27">
      <c r="D32" s="219" t="s">
        <v>511</v>
      </c>
      <c r="E32" s="123">
        <f>CNS!B25+CRR!B24</f>
        <v>-25426.149999999998</v>
      </c>
      <c r="F32" s="6">
        <f>CNS!C25+CRR!C24</f>
        <v>-32678.58</v>
      </c>
      <c r="G32" s="6">
        <f>CNS!D25+CRR!D24</f>
        <v>-28556.639999999999</v>
      </c>
      <c r="H32" s="123">
        <f>CNS!E25+CRR!E24</f>
        <v>-28209.129999999997</v>
      </c>
      <c r="I32" s="6">
        <f>IF(I5=$D$2,Consolidated!I29,0)</f>
        <v>-33000.229999999996</v>
      </c>
      <c r="J32" s="6">
        <f>IF(J5=$D$2,Consolidated!J29,0)</f>
        <v>-34300.75</v>
      </c>
      <c r="K32" s="123">
        <f>IF(K5=$D$2,Consolidated!K29,0)</f>
        <v>-28209.14</v>
      </c>
      <c r="L32" s="6">
        <f>IF(L5=$D$2,Consolidated!L29,0)</f>
        <v>0</v>
      </c>
      <c r="M32" s="6">
        <f>IF(M5=$D$2,Consolidated!M29,0)</f>
        <v>0</v>
      </c>
      <c r="N32" s="123">
        <f>IF(N5=$D$2,Consolidated!N29,0)</f>
        <v>0</v>
      </c>
      <c r="O32" s="6">
        <f>IF(O5=$D$2,Consolidated!O29,0)</f>
        <v>0</v>
      </c>
      <c r="P32" s="6">
        <f>IF(P5=$D$2,Consolidated!P29,0)</f>
        <v>0</v>
      </c>
      <c r="Q32" s="9">
        <f t="shared" si="2"/>
        <v>-210380.62</v>
      </c>
      <c r="R32" s="230">
        <f>Q32/$Q$10</f>
        <v>-6.6568498963986283E-2</v>
      </c>
      <c r="T32" s="219" t="s">
        <v>511</v>
      </c>
      <c r="U32" s="9">
        <f t="shared" si="1"/>
        <v>-17531.718333333334</v>
      </c>
    </row>
    <row r="33" spans="4:21">
      <c r="D33" s="219" t="s">
        <v>510</v>
      </c>
      <c r="E33" s="123">
        <f>CNS!B26+CRR!B25</f>
        <v>-15523.46</v>
      </c>
      <c r="F33" s="6">
        <f>CNS!C26+CRR!C25</f>
        <v>-9519.0499999999993</v>
      </c>
      <c r="G33" s="6">
        <f>CNS!D26+CRR!D25</f>
        <v>-13097.35</v>
      </c>
      <c r="H33" s="123">
        <f>CNS!E26+CRR!E25</f>
        <v>-10678.38</v>
      </c>
      <c r="I33" s="6">
        <f>IF(I5=$D$2,Consolidated!I30,0)</f>
        <v>-9918.6999999999989</v>
      </c>
      <c r="J33" s="6">
        <f>IF(J5=$D$2,Consolidated!J30,0)</f>
        <v>-9939.9599999999991</v>
      </c>
      <c r="K33" s="123">
        <f>IF(K5=$D$2,Consolidated!K30,0)</f>
        <v>-10299.929999999998</v>
      </c>
      <c r="L33" s="6">
        <f>IF(L5=$D$2,Consolidated!L30,0)</f>
        <v>0</v>
      </c>
      <c r="M33" s="6">
        <f>IF(M5=$D$2,Consolidated!M30,0)</f>
        <v>0</v>
      </c>
      <c r="N33" s="123">
        <f>IF(N5=$D$2,Consolidated!N30,0)</f>
        <v>0</v>
      </c>
      <c r="O33" s="6">
        <f>IF(O5=$D$2,Consolidated!O30,0)</f>
        <v>0</v>
      </c>
      <c r="P33" s="6">
        <f>IF(P5=$D$2,Consolidated!P30,0)</f>
        <v>0</v>
      </c>
      <c r="Q33" s="9">
        <f t="shared" si="2"/>
        <v>-78976.829999999987</v>
      </c>
      <c r="R33" s="230">
        <f t="shared" ref="R33:R36" si="6">Q33/$Q$10</f>
        <v>-2.4989797187753893E-2</v>
      </c>
      <c r="T33" s="219" t="s">
        <v>510</v>
      </c>
      <c r="U33" s="9">
        <f t="shared" si="1"/>
        <v>-6581.4024999999992</v>
      </c>
    </row>
    <row r="34" spans="4:21">
      <c r="D34" s="219" t="s">
        <v>509</v>
      </c>
      <c r="E34" s="123">
        <f>CNS!B27+CRR!B26</f>
        <v>-21367.88</v>
      </c>
      <c r="F34" s="6">
        <f>CNS!C27+CRR!C26</f>
        <v>-19100</v>
      </c>
      <c r="G34" s="6">
        <f>CNS!D27+CRR!D26</f>
        <v>-26235.23</v>
      </c>
      <c r="H34" s="123">
        <f>CNS!E27+CRR!E26</f>
        <v>-25581.62000000001</v>
      </c>
      <c r="I34" s="6">
        <f>IF(I5=$D$2,Consolidated!I31,0)</f>
        <v>-32735.460000000003</v>
      </c>
      <c r="J34" s="6">
        <f>IF(J5=$D$2,Consolidated!J31,0)</f>
        <v>-22372</v>
      </c>
      <c r="K34" s="123">
        <f>IF(K5=$D$2,Consolidated!K31,0)</f>
        <v>-21173.82</v>
      </c>
      <c r="L34" s="6">
        <f>IF(L5=$D$2,Consolidated!L31,0)</f>
        <v>0</v>
      </c>
      <c r="M34" s="6">
        <f>IF(M5=$D$2,Consolidated!M31,0)</f>
        <v>0</v>
      </c>
      <c r="N34" s="123">
        <f>IF(N5=$D$2,Consolidated!N31,0)</f>
        <v>0</v>
      </c>
      <c r="O34" s="6">
        <f>IF(O5=$D$2,Consolidated!O31,0)</f>
        <v>0</v>
      </c>
      <c r="P34" s="6">
        <f>IF(P5=$D$2,Consolidated!P31,0)</f>
        <v>0</v>
      </c>
      <c r="Q34" s="9">
        <f t="shared" si="2"/>
        <v>-168566.01</v>
      </c>
      <c r="R34" s="230">
        <f t="shared" si="6"/>
        <v>-5.3337547260999152E-2</v>
      </c>
      <c r="T34" s="219" t="s">
        <v>509</v>
      </c>
      <c r="U34" s="9">
        <f t="shared" si="1"/>
        <v>-14047.167500000001</v>
      </c>
    </row>
    <row r="35" spans="4:21">
      <c r="D35" s="219" t="s">
        <v>508</v>
      </c>
      <c r="E35" s="123">
        <f>CNS!B28+CRR!B27</f>
        <v>-1119.18</v>
      </c>
      <c r="F35" s="6">
        <f>CNS!C28+CRR!C27</f>
        <v>0</v>
      </c>
      <c r="G35" s="6">
        <f>CNS!D28+CRR!D27</f>
        <v>0</v>
      </c>
      <c r="H35" s="123">
        <f>CNS!E28+CRR!E27</f>
        <v>0</v>
      </c>
      <c r="I35" s="6">
        <f>IF(I5=$D$2,Consolidated!I32,0)</f>
        <v>0</v>
      </c>
      <c r="J35" s="6">
        <f>IF(J5=$D$2,Consolidated!J32,0)</f>
        <v>0</v>
      </c>
      <c r="K35" s="123">
        <f>IF(K5=$D$2,Consolidated!K32,0)</f>
        <v>0</v>
      </c>
      <c r="L35" s="6">
        <f>IF(L5=$D$2,Consolidated!L32,0)</f>
        <v>0</v>
      </c>
      <c r="M35" s="6">
        <f>IF(M5=$D$2,Consolidated!M32,0)</f>
        <v>0</v>
      </c>
      <c r="N35" s="123">
        <f>IF(N5=$D$2,Consolidated!N32,0)</f>
        <v>0</v>
      </c>
      <c r="O35" s="6">
        <f>IF(O5=$D$2,Consolidated!O32,0)</f>
        <v>0</v>
      </c>
      <c r="P35" s="6">
        <f>IF(P5=$D$2,Consolidated!P32,0)</f>
        <v>0</v>
      </c>
      <c r="Q35" s="9">
        <f t="shared" si="2"/>
        <v>-1119.18</v>
      </c>
      <c r="R35" s="230">
        <f t="shared" si="6"/>
        <v>-3.5413020776587777E-4</v>
      </c>
      <c r="T35" s="219" t="s">
        <v>508</v>
      </c>
      <c r="U35" s="9">
        <f t="shared" si="1"/>
        <v>-93.265000000000001</v>
      </c>
    </row>
    <row r="36" spans="4:21">
      <c r="D36" s="219" t="s">
        <v>507</v>
      </c>
      <c r="E36" s="123">
        <f>CNS!B29+CRR!B28</f>
        <v>-1523.5900000000001</v>
      </c>
      <c r="F36" s="6">
        <f>CNS!C29+CRR!C28</f>
        <v>0</v>
      </c>
      <c r="G36" s="6">
        <f>CNS!D29+CRR!D28</f>
        <v>-53</v>
      </c>
      <c r="H36" s="123">
        <f>CNS!E29+CRR!E28</f>
        <v>-106</v>
      </c>
      <c r="I36" s="6">
        <f>IF(I5=$D$2,Consolidated!I33,0)</f>
        <v>-5718.5</v>
      </c>
      <c r="J36" s="6">
        <f>IF(J5=$D$2,Consolidated!J33,0)</f>
        <v>0</v>
      </c>
      <c r="K36" s="123">
        <f>IF(K5=$D$2,Consolidated!K33,0)</f>
        <v>0</v>
      </c>
      <c r="L36" s="6">
        <f>IF(L5=$D$2,Consolidated!L33,0)</f>
        <v>0</v>
      </c>
      <c r="M36" s="6">
        <f>IF(M5=$D$2,Consolidated!M33,0)</f>
        <v>0</v>
      </c>
      <c r="N36" s="123">
        <f>IF(N5=$D$2,Consolidated!N33,0)</f>
        <v>0</v>
      </c>
      <c r="O36" s="6">
        <f>IF(O5=$D$2,Consolidated!O33,0)</f>
        <v>0</v>
      </c>
      <c r="P36" s="6">
        <f>IF(P5=$D$2,Consolidated!P33,0)</f>
        <v>0</v>
      </c>
      <c r="Q36" s="9">
        <f t="shared" si="2"/>
        <v>-7401.09</v>
      </c>
      <c r="R36" s="230">
        <f t="shared" si="6"/>
        <v>-2.3418480846637362E-3</v>
      </c>
      <c r="T36" s="219" t="s">
        <v>507</v>
      </c>
      <c r="U36" s="9">
        <f t="shared" si="1"/>
        <v>-616.75750000000005</v>
      </c>
    </row>
    <row r="37" spans="4:21">
      <c r="D37" s="218" t="s">
        <v>16</v>
      </c>
      <c r="E37" s="212">
        <f>CNS!B30+CRR!B29</f>
        <v>18667.019999999993</v>
      </c>
      <c r="F37" s="208">
        <f>CNS!C30+CRR!C29</f>
        <v>97377.51999999999</v>
      </c>
      <c r="G37" s="208">
        <f>CNS!D30+CRR!D29</f>
        <v>66672.690000000104</v>
      </c>
      <c r="H37" s="212">
        <f>CNS!E30+CRR!E29</f>
        <v>5731.0600000000886</v>
      </c>
      <c r="I37" s="208">
        <f>I30+I31</f>
        <v>67235.579999999987</v>
      </c>
      <c r="J37" s="208">
        <f t="shared" ref="J37:P37" si="7">J30+J31</f>
        <v>106888.44</v>
      </c>
      <c r="K37" s="212">
        <f t="shared" si="7"/>
        <v>25650.560000000056</v>
      </c>
      <c r="L37" s="208">
        <f t="shared" si="7"/>
        <v>58534.278467394921</v>
      </c>
      <c r="M37" s="208">
        <f t="shared" si="7"/>
        <v>58235.809476009395</v>
      </c>
      <c r="N37" s="212">
        <f t="shared" si="7"/>
        <v>12737.415782979122</v>
      </c>
      <c r="O37" s="208">
        <f t="shared" si="7"/>
        <v>57634.861534628493</v>
      </c>
      <c r="P37" s="208">
        <f t="shared" si="7"/>
        <v>57332.370621518727</v>
      </c>
      <c r="Q37" s="215">
        <f t="shared" si="2"/>
        <v>632697.6058825308</v>
      </c>
      <c r="R37" s="12">
        <f>Q37/$Q$10</f>
        <v>0.20019776499236411</v>
      </c>
      <c r="T37" s="330" t="s">
        <v>16</v>
      </c>
      <c r="U37" s="215">
        <f t="shared" si="1"/>
        <v>52724.800490210902</v>
      </c>
    </row>
    <row r="38" spans="4:21">
      <c r="D38" s="220" t="s">
        <v>17</v>
      </c>
      <c r="E38" s="122">
        <f>CNS!B31+CRR!B30</f>
        <v>-23481.499999999996</v>
      </c>
      <c r="F38" s="10">
        <f>CNS!C31+CRR!C30</f>
        <v>-24172.25</v>
      </c>
      <c r="G38" s="10">
        <f>CNS!D31+CRR!D30</f>
        <v>-24636.399999999991</v>
      </c>
      <c r="H38" s="122">
        <f>CNS!E31+CRR!E30</f>
        <v>-21131.769999999997</v>
      </c>
      <c r="I38" s="10">
        <f>IF(I5=$D$2,Consolidated!I35,'Orçamento 2026'!G47)</f>
        <v>-20692.519999999997</v>
      </c>
      <c r="J38" s="10">
        <f>IF(J5=$D$2,Consolidated!J35,'Orçamento 2026'!H47)</f>
        <v>-20268.560000000005</v>
      </c>
      <c r="K38" s="122">
        <f>IF(K5=$D$2,Consolidated!K35,'Orçamento 2026'!I47)</f>
        <v>-30373.030000000002</v>
      </c>
      <c r="L38" s="10">
        <f>IF(L5=$D$2,Consolidated!L35,'Orçamento 2026'!J47)</f>
        <v>-24096.431527344906</v>
      </c>
      <c r="M38" s="10">
        <f>IF(M5=$D$2,Consolidated!M35,'Orçamento 2026'!K47)</f>
        <v>-24204.183514110329</v>
      </c>
      <c r="N38" s="122">
        <f>IF(N5=$D$2,Consolidated!N35,'Orçamento 2026'!L47)</f>
        <v>-24312.417335318292</v>
      </c>
      <c r="O38" s="10">
        <f>IF(O5=$D$2,Consolidated!O35,'Orçamento 2026'!M47)</f>
        <v>-24421.135145587326</v>
      </c>
      <c r="P38" s="10">
        <f>IF(P5=$D$2,Consolidated!P35,'Orçamento 2026'!N47)</f>
        <v>-24530.339109170811</v>
      </c>
      <c r="Q38" s="11">
        <f t="shared" si="2"/>
        <v>-286320.53663153166</v>
      </c>
      <c r="R38" s="230">
        <f t="shared" ref="R38:R55" si="8">Q38/$Q$10</f>
        <v>-9.0597357998679309E-2</v>
      </c>
      <c r="T38" s="221" t="s">
        <v>17</v>
      </c>
      <c r="U38" s="11">
        <f t="shared" si="1"/>
        <v>-23860.044719294307</v>
      </c>
    </row>
    <row r="39" spans="4:21">
      <c r="D39" s="219" t="s">
        <v>506</v>
      </c>
      <c r="E39" s="123">
        <f>CNS!B32+CRR!B31</f>
        <v>-10767.650000000001</v>
      </c>
      <c r="F39" s="6">
        <f>CNS!C32+CRR!C31</f>
        <v>-7850.2999999999993</v>
      </c>
      <c r="G39" s="6">
        <f>CNS!D32+CRR!D31</f>
        <v>-8253.59</v>
      </c>
      <c r="H39" s="123">
        <f>CNS!E32+CRR!E31</f>
        <v>-8252.4599999999991</v>
      </c>
      <c r="I39" s="6">
        <f>IF(I5=$D$2,Consolidated!I36,0)</f>
        <v>-9165.58</v>
      </c>
      <c r="J39" s="6">
        <f>IF(J5=$D$2,Consolidated!J36,0)</f>
        <v>-8964.0499999999993</v>
      </c>
      <c r="K39" s="123">
        <f>IF(K5=$D$2,Consolidated!K36,0)</f>
        <v>-8776.49</v>
      </c>
      <c r="L39" s="6">
        <f>IF(L5=$D$2,Consolidated!L36,0)</f>
        <v>0</v>
      </c>
      <c r="M39" s="6">
        <f>IF(M5=$D$2,Consolidated!M36,0)</f>
        <v>0</v>
      </c>
      <c r="N39" s="123">
        <f>IF(N5=$D$2,Consolidated!N36,0)</f>
        <v>0</v>
      </c>
      <c r="O39" s="6">
        <f>IF(O5=$D$2,Consolidated!O36,0)</f>
        <v>0</v>
      </c>
      <c r="P39" s="6">
        <f>IF(P5=$D$2,Consolidated!P36,0)</f>
        <v>0</v>
      </c>
      <c r="Q39" s="9">
        <f t="shared" si="2"/>
        <v>-62030.12</v>
      </c>
      <c r="R39" s="230">
        <f t="shared" si="8"/>
        <v>-1.962753023047439E-2</v>
      </c>
      <c r="T39" s="219" t="s">
        <v>506</v>
      </c>
      <c r="U39" s="9">
        <f t="shared" si="1"/>
        <v>-5169.1766666666672</v>
      </c>
    </row>
    <row r="40" spans="4:21">
      <c r="D40" s="219" t="s">
        <v>505</v>
      </c>
      <c r="E40" s="123">
        <f>CNS!B33+CRR!B32</f>
        <v>0</v>
      </c>
      <c r="F40" s="6">
        <f>CNS!C33+CRR!C32</f>
        <v>0</v>
      </c>
      <c r="G40" s="6">
        <f>CNS!D33+CRR!D32</f>
        <v>0</v>
      </c>
      <c r="H40" s="123">
        <f>CNS!E33+CRR!E32</f>
        <v>0</v>
      </c>
      <c r="I40" s="6">
        <f>IF(I5=$D$2,Consolidated!I37,0)</f>
        <v>0</v>
      </c>
      <c r="J40" s="6">
        <f>IF(J5=$D$2,Consolidated!J37,0)</f>
        <v>0</v>
      </c>
      <c r="K40" s="123">
        <f>IF(K5=$D$2,Consolidated!K37,0)</f>
        <v>0</v>
      </c>
      <c r="L40" s="6">
        <f>IF(L5=$D$2,Consolidated!L37,0)</f>
        <v>0</v>
      </c>
      <c r="M40" s="6">
        <f>IF(M5=$D$2,Consolidated!M37,0)</f>
        <v>0</v>
      </c>
      <c r="N40" s="123">
        <f>IF(N5=$D$2,Consolidated!N37,0)</f>
        <v>0</v>
      </c>
      <c r="O40" s="6">
        <f>IF(O5=$D$2,Consolidated!O37,0)</f>
        <v>0</v>
      </c>
      <c r="P40" s="6">
        <f>IF(P5=$D$2,Consolidated!P37,0)</f>
        <v>0</v>
      </c>
      <c r="Q40" s="9">
        <f t="shared" si="2"/>
        <v>0</v>
      </c>
      <c r="R40" s="230">
        <f t="shared" si="8"/>
        <v>0</v>
      </c>
      <c r="T40" s="219" t="s">
        <v>505</v>
      </c>
      <c r="U40" s="9">
        <f t="shared" si="1"/>
        <v>0</v>
      </c>
    </row>
    <row r="41" spans="4:21">
      <c r="D41" s="219" t="s">
        <v>504</v>
      </c>
      <c r="E41" s="123">
        <f>CNS!B34+CRR!B33</f>
        <v>-4432.6099999999997</v>
      </c>
      <c r="F41" s="6">
        <f>CNS!C34+CRR!C33</f>
        <v>-4617.9399999999996</v>
      </c>
      <c r="G41" s="6">
        <f>CNS!D34+CRR!D33</f>
        <v>-4617.9399999999996</v>
      </c>
      <c r="H41" s="123">
        <f>CNS!E34+CRR!E33</f>
        <v>-4617.9399999999996</v>
      </c>
      <c r="I41" s="6">
        <f>IF(I5=$D$2,Consolidated!I38,0)</f>
        <v>-4617.9399999999996</v>
      </c>
      <c r="J41" s="6">
        <f>IF(J5=$D$2,Consolidated!J38,0)</f>
        <v>-4617.9399999999996</v>
      </c>
      <c r="K41" s="123">
        <f>IF(K5=$D$2,Consolidated!K38,0)</f>
        <v>-13617.94</v>
      </c>
      <c r="L41" s="6">
        <f>IF(L5=$D$2,Consolidated!L38,0)</f>
        <v>0</v>
      </c>
      <c r="M41" s="6">
        <f>IF(M5=$D$2,Consolidated!M38,0)</f>
        <v>0</v>
      </c>
      <c r="N41" s="123">
        <f>IF(N5=$D$2,Consolidated!N38,0)</f>
        <v>0</v>
      </c>
      <c r="O41" s="6">
        <f>IF(O5=$D$2,Consolidated!O38,0)</f>
        <v>0</v>
      </c>
      <c r="P41" s="6">
        <f>IF(P5=$D$2,Consolidated!P38,0)</f>
        <v>0</v>
      </c>
      <c r="Q41" s="9">
        <f t="shared" si="2"/>
        <v>-41140.249999999993</v>
      </c>
      <c r="R41" s="230">
        <f t="shared" si="8"/>
        <v>-1.3017571150342348E-2</v>
      </c>
      <c r="T41" s="219" t="s">
        <v>504</v>
      </c>
      <c r="U41" s="9">
        <f t="shared" si="1"/>
        <v>-3428.3541666666661</v>
      </c>
    </row>
    <row r="42" spans="4:21">
      <c r="D42" s="219" t="s">
        <v>503</v>
      </c>
      <c r="E42" s="123">
        <f>CNS!B35+CRR!B34</f>
        <v>-2598.88</v>
      </c>
      <c r="F42" s="6">
        <f>CNS!C35+CRR!C34</f>
        <v>-4244.37</v>
      </c>
      <c r="G42" s="6">
        <f>CNS!D35+CRR!D34</f>
        <v>-4827.7599999999984</v>
      </c>
      <c r="H42" s="123">
        <f>CNS!E35+CRR!E34</f>
        <v>-3002.4900000000002</v>
      </c>
      <c r="I42" s="6">
        <f>IF(I5=$D$2,Consolidated!I39,0)</f>
        <v>-1595.19</v>
      </c>
      <c r="J42" s="6">
        <f>IF(J5=$D$2,Consolidated!J39,0)</f>
        <v>-484.9</v>
      </c>
      <c r="K42" s="123">
        <f>IF(K5=$D$2,Consolidated!K39,0)</f>
        <v>-195</v>
      </c>
      <c r="L42" s="6">
        <f>IF(L5=$D$2,Consolidated!L39,0)</f>
        <v>0</v>
      </c>
      <c r="M42" s="6">
        <f>IF(M5=$D$2,Consolidated!M39,0)</f>
        <v>0</v>
      </c>
      <c r="N42" s="123">
        <f>IF(N5=$D$2,Consolidated!N39,0)</f>
        <v>0</v>
      </c>
      <c r="O42" s="6">
        <f>IF(O5=$D$2,Consolidated!O39,0)</f>
        <v>0</v>
      </c>
      <c r="P42" s="6">
        <f>IF(P5=$D$2,Consolidated!P39,0)</f>
        <v>0</v>
      </c>
      <c r="Q42" s="9">
        <f t="shared" si="2"/>
        <v>-16948.59</v>
      </c>
      <c r="R42" s="230">
        <f t="shared" si="8"/>
        <v>-5.3628618256568901E-3</v>
      </c>
      <c r="T42" s="219" t="s">
        <v>503</v>
      </c>
      <c r="U42" s="9">
        <f t="shared" si="1"/>
        <v>-1412.3824999999999</v>
      </c>
    </row>
    <row r="43" spans="4:21">
      <c r="D43" s="219" t="s">
        <v>502</v>
      </c>
      <c r="E43" s="123">
        <f>CNS!B36+CRR!B35</f>
        <v>-2058.7799999999997</v>
      </c>
      <c r="F43" s="6">
        <f>CNS!C36+CRR!C35</f>
        <v>-3995.8399999999992</v>
      </c>
      <c r="G43" s="6">
        <f>CNS!D36+CRR!D35</f>
        <v>-3193.7400000000002</v>
      </c>
      <c r="H43" s="123">
        <f>CNS!E36+CRR!E35</f>
        <v>-2495.5100000000002</v>
      </c>
      <c r="I43" s="6">
        <f>IF(I5=$D$2,Consolidated!I40,0)</f>
        <v>-2050.44</v>
      </c>
      <c r="J43" s="6">
        <f>IF(J5=$D$2,Consolidated!J40,0)</f>
        <v>-3872.4199999999992</v>
      </c>
      <c r="K43" s="123">
        <f>IF(K5=$D$2,Consolidated!K40,0)</f>
        <v>-3362.5899999999997</v>
      </c>
      <c r="L43" s="6">
        <f>IF(L5=$D$2,Consolidated!L40,0)</f>
        <v>0</v>
      </c>
      <c r="M43" s="6">
        <f>IF(M5=$D$2,Consolidated!M40,0)</f>
        <v>0</v>
      </c>
      <c r="N43" s="123">
        <f>IF(N5=$D$2,Consolidated!N40,0)</f>
        <v>0</v>
      </c>
      <c r="O43" s="6">
        <f>IF(O5=$D$2,Consolidated!O40,0)</f>
        <v>0</v>
      </c>
      <c r="P43" s="6">
        <f>IF(P5=$D$2,Consolidated!P40,0)</f>
        <v>0</v>
      </c>
      <c r="Q43" s="9">
        <f t="shared" si="2"/>
        <v>-21029.32</v>
      </c>
      <c r="R43" s="230">
        <f t="shared" si="8"/>
        <v>-6.6540837584437964E-3</v>
      </c>
      <c r="T43" s="219" t="s">
        <v>502</v>
      </c>
      <c r="U43" s="9">
        <f t="shared" si="1"/>
        <v>-1752.4433333333334</v>
      </c>
    </row>
    <row r="44" spans="4:21">
      <c r="D44" s="219" t="s">
        <v>501</v>
      </c>
      <c r="E44" s="123">
        <f>CNS!B37+CRR!B36</f>
        <v>-2716.7200000000003</v>
      </c>
      <c r="F44" s="6">
        <f>CNS!C37+CRR!C36</f>
        <v>-2556.94</v>
      </c>
      <c r="G44" s="6">
        <f>CNS!D37+CRR!D36</f>
        <v>-2836.51</v>
      </c>
      <c r="H44" s="123">
        <f>CNS!E37+CRR!E36</f>
        <v>-1856.51</v>
      </c>
      <c r="I44" s="6">
        <f>IF(I5=$D$2,Consolidated!I41,0)</f>
        <v>-2356.5100000000002</v>
      </c>
      <c r="J44" s="6">
        <f>IF(J5=$D$2,Consolidated!J41,0)</f>
        <v>-1422.3899999999999</v>
      </c>
      <c r="K44" s="123">
        <f>IF(K5=$D$2,Consolidated!K41,0)</f>
        <v>-3514.1499999999996</v>
      </c>
      <c r="L44" s="6">
        <f>IF(L5=$D$2,Consolidated!L41,0)</f>
        <v>0</v>
      </c>
      <c r="M44" s="6">
        <f>IF(M5=$D$2,Consolidated!M41,0)</f>
        <v>0</v>
      </c>
      <c r="N44" s="123">
        <f>IF(N5=$D$2,Consolidated!N41,0)</f>
        <v>0</v>
      </c>
      <c r="O44" s="6">
        <f>IF(O5=$D$2,Consolidated!O41,0)</f>
        <v>0</v>
      </c>
      <c r="P44" s="6">
        <f>IF(P5=$D$2,Consolidated!P41,0)</f>
        <v>0</v>
      </c>
      <c r="Q44" s="9">
        <f t="shared" si="2"/>
        <v>-17259.73</v>
      </c>
      <c r="R44" s="230">
        <f t="shared" si="8"/>
        <v>-5.4613125421138272E-3</v>
      </c>
      <c r="T44" s="219" t="s">
        <v>501</v>
      </c>
      <c r="U44" s="9">
        <f t="shared" si="1"/>
        <v>-1438.3108333333332</v>
      </c>
    </row>
    <row r="45" spans="4:21">
      <c r="D45" s="219" t="s">
        <v>500</v>
      </c>
      <c r="E45" s="123">
        <f>CNS!B38+CRR!B37</f>
        <v>-906.8599999999999</v>
      </c>
      <c r="F45" s="6">
        <f>CNS!C38+CRR!C37</f>
        <v>-906.8599999999999</v>
      </c>
      <c r="G45" s="6">
        <f>CNS!D38+CRR!D37</f>
        <v>-906.8599999999999</v>
      </c>
      <c r="H45" s="123">
        <f>CNS!E38+CRR!E37</f>
        <v>-906.8599999999999</v>
      </c>
      <c r="I45" s="6">
        <f>IF(I5=$D$2,Consolidated!I42,0)</f>
        <v>-906.86</v>
      </c>
      <c r="J45" s="6">
        <f>IF(J5=$D$2,Consolidated!J42,0)</f>
        <v>-906.8599999999999</v>
      </c>
      <c r="K45" s="123">
        <f>IF(K5=$D$2,Consolidated!K42,0)</f>
        <v>-906.86</v>
      </c>
      <c r="L45" s="6">
        <f>IF(L5=$D$2,Consolidated!L42,0)</f>
        <v>0</v>
      </c>
      <c r="M45" s="6">
        <f>IF(M5=$D$2,Consolidated!M42,0)</f>
        <v>0</v>
      </c>
      <c r="N45" s="123">
        <f>IF(N5=$D$2,Consolidated!N42,0)</f>
        <v>0</v>
      </c>
      <c r="O45" s="6">
        <f>IF(O5=$D$2,Consolidated!O42,0)</f>
        <v>0</v>
      </c>
      <c r="P45" s="6">
        <f>IF(P5=$D$2,Consolidated!P42,0)</f>
        <v>0</v>
      </c>
      <c r="Q45" s="9">
        <f t="shared" si="2"/>
        <v>-6348.0199999999986</v>
      </c>
      <c r="R45" s="230">
        <f t="shared" si="8"/>
        <v>-2.0086363601046721E-3</v>
      </c>
      <c r="T45" s="219" t="s">
        <v>500</v>
      </c>
      <c r="U45" s="9">
        <f t="shared" si="1"/>
        <v>-529.00166666666655</v>
      </c>
    </row>
    <row r="46" spans="4:21" hidden="1" outlineLevel="1">
      <c r="D46" s="219" t="s">
        <v>499</v>
      </c>
      <c r="E46" s="123">
        <f>CNS!B39+CRR!B38</f>
        <v>0</v>
      </c>
      <c r="F46" s="6">
        <f>CNS!C39+CRR!C38</f>
        <v>0</v>
      </c>
      <c r="G46" s="6">
        <f>CNS!D39+CRR!D38</f>
        <v>0</v>
      </c>
      <c r="H46" s="123">
        <f>CNS!E39+CRR!E38</f>
        <v>0</v>
      </c>
      <c r="I46" s="6">
        <f>CNS!F39+CRR!F38</f>
        <v>0</v>
      </c>
      <c r="J46" s="6">
        <f>CNS!G39+CRR!G38</f>
        <v>0</v>
      </c>
      <c r="K46" s="123">
        <f>CNS!H39+CRR!H38</f>
        <v>0</v>
      </c>
      <c r="L46" s="6">
        <f>CNS!I39+CRR!I38</f>
        <v>0</v>
      </c>
      <c r="M46" s="6">
        <f>CNS!J39+CRR!J38</f>
        <v>0</v>
      </c>
      <c r="N46" s="123">
        <f>CNS!K39+CRR!K38</f>
        <v>0</v>
      </c>
      <c r="O46" s="6">
        <f>CNS!L39+CRR!L38</f>
        <v>0</v>
      </c>
      <c r="P46" s="6">
        <f>CNS!M39+CRR!M38</f>
        <v>0</v>
      </c>
      <c r="Q46" s="9">
        <f t="shared" si="2"/>
        <v>0</v>
      </c>
      <c r="R46" s="230">
        <f t="shared" si="8"/>
        <v>0</v>
      </c>
      <c r="T46" s="219" t="s">
        <v>499</v>
      </c>
      <c r="U46" s="9">
        <f t="shared" si="1"/>
        <v>0</v>
      </c>
    </row>
    <row r="47" spans="4:21" hidden="1" outlineLevel="1">
      <c r="D47" s="219" t="s">
        <v>498</v>
      </c>
      <c r="E47" s="123">
        <f>CNS!B40+CRR!B39</f>
        <v>0</v>
      </c>
      <c r="F47" s="6">
        <f>CNS!C40+CRR!C39</f>
        <v>0</v>
      </c>
      <c r="G47" s="6">
        <f>CNS!D40+CRR!D39</f>
        <v>0</v>
      </c>
      <c r="H47" s="123">
        <f>CNS!E40+CRR!E39</f>
        <v>0</v>
      </c>
      <c r="I47" s="6">
        <f>CNS!F40+CRR!F39</f>
        <v>0</v>
      </c>
      <c r="J47" s="6">
        <f>CNS!G40+CRR!G39</f>
        <v>0</v>
      </c>
      <c r="K47" s="123">
        <f>CNS!H40+CRR!H39</f>
        <v>0</v>
      </c>
      <c r="L47" s="6">
        <f>CNS!I40+CRR!I39</f>
        <v>0</v>
      </c>
      <c r="M47" s="6">
        <f>CNS!J40+CRR!J39</f>
        <v>0</v>
      </c>
      <c r="N47" s="123">
        <f>CNS!K40+CRR!K39</f>
        <v>0</v>
      </c>
      <c r="O47" s="6">
        <f>CNS!L40+CRR!L39</f>
        <v>0</v>
      </c>
      <c r="P47" s="6">
        <f>CNS!M40+CRR!M39</f>
        <v>0</v>
      </c>
      <c r="Q47" s="9">
        <f t="shared" si="2"/>
        <v>0</v>
      </c>
      <c r="R47" s="230">
        <f t="shared" si="8"/>
        <v>0</v>
      </c>
      <c r="T47" s="219" t="s">
        <v>498</v>
      </c>
      <c r="U47" s="9">
        <f t="shared" si="1"/>
        <v>0</v>
      </c>
    </row>
    <row r="48" spans="4:21" hidden="1" outlineLevel="1">
      <c r="D48" s="219" t="s">
        <v>497</v>
      </c>
      <c r="E48" s="123">
        <f>CNS!B41+CRR!B40</f>
        <v>0</v>
      </c>
      <c r="F48" s="6">
        <f>CNS!C41+CRR!C40</f>
        <v>0</v>
      </c>
      <c r="G48" s="6">
        <f>CNS!D41+CRR!D40</f>
        <v>0</v>
      </c>
      <c r="H48" s="123">
        <f>CNS!E41+CRR!E40</f>
        <v>0</v>
      </c>
      <c r="I48" s="6">
        <f>CNS!F41+CRR!F40</f>
        <v>0</v>
      </c>
      <c r="J48" s="6">
        <f>CNS!G41+CRR!G40</f>
        <v>0</v>
      </c>
      <c r="K48" s="123">
        <f>CNS!H41+CRR!H40</f>
        <v>0</v>
      </c>
      <c r="L48" s="6">
        <f>CNS!I41+CRR!I40</f>
        <v>0</v>
      </c>
      <c r="M48" s="6">
        <f>CNS!J41+CRR!J40</f>
        <v>0</v>
      </c>
      <c r="N48" s="123">
        <f>CNS!K41+CRR!K40</f>
        <v>0</v>
      </c>
      <c r="O48" s="6">
        <f>CNS!L41+CRR!L40</f>
        <v>0</v>
      </c>
      <c r="P48" s="6">
        <f>CNS!M41+CRR!M40</f>
        <v>0</v>
      </c>
      <c r="Q48" s="9">
        <f t="shared" si="2"/>
        <v>0</v>
      </c>
      <c r="R48" s="230">
        <f t="shared" si="8"/>
        <v>0</v>
      </c>
      <c r="T48" s="219" t="s">
        <v>497</v>
      </c>
      <c r="U48" s="9">
        <f t="shared" si="1"/>
        <v>0</v>
      </c>
    </row>
    <row r="49" spans="4:21" collapsed="1">
      <c r="D49" s="218" t="s">
        <v>18</v>
      </c>
      <c r="E49" s="212">
        <f>CNS!B42+CRR!B41</f>
        <v>-4814.4800000000032</v>
      </c>
      <c r="F49" s="208">
        <f>CNS!C42+CRR!C41</f>
        <v>73205.26999999999</v>
      </c>
      <c r="G49" s="208">
        <f>CNS!D42+CRR!D41</f>
        <v>42036.290000000117</v>
      </c>
      <c r="H49" s="212">
        <f>CNS!E42+CRR!E41</f>
        <v>-15400.709999999906</v>
      </c>
      <c r="I49" s="208">
        <f>I37+I38</f>
        <v>46543.05999999999</v>
      </c>
      <c r="J49" s="208">
        <f t="shared" ref="J49:P49" si="9">J37+J38</f>
        <v>86619.88</v>
      </c>
      <c r="K49" s="212">
        <f>K37+K38</f>
        <v>-4722.4699999999466</v>
      </c>
      <c r="L49" s="208">
        <f t="shared" si="9"/>
        <v>34437.846940050018</v>
      </c>
      <c r="M49" s="208">
        <f t="shared" si="9"/>
        <v>34031.625961899066</v>
      </c>
      <c r="N49" s="212">
        <f t="shared" si="9"/>
        <v>-11575.00155233917</v>
      </c>
      <c r="O49" s="208">
        <f t="shared" si="9"/>
        <v>33213.72638904117</v>
      </c>
      <c r="P49" s="208">
        <f t="shared" si="9"/>
        <v>32802.031512347916</v>
      </c>
      <c r="Q49" s="215">
        <f t="shared" si="2"/>
        <v>346377.06925099925</v>
      </c>
      <c r="R49" s="12">
        <f>Q49/$Q$10</f>
        <v>0.10960040699368483</v>
      </c>
      <c r="S49" s="12">
        <f>Q49/$Q$30</f>
        <v>0.24123141393086792</v>
      </c>
      <c r="T49" s="330" t="s">
        <v>18</v>
      </c>
      <c r="U49" s="215">
        <f t="shared" si="1"/>
        <v>28864.755770916603</v>
      </c>
    </row>
    <row r="50" spans="4:21">
      <c r="D50" s="221" t="s">
        <v>19</v>
      </c>
      <c r="E50" s="122">
        <f>CNS!B43+CRR!B42</f>
        <v>-1262.8599999999976</v>
      </c>
      <c r="F50" s="10">
        <f>CNS!C43+CRR!C42</f>
        <v>-973.19999999999879</v>
      </c>
      <c r="G50" s="10">
        <f>CNS!D43+CRR!D42</f>
        <v>-337.74999999999676</v>
      </c>
      <c r="H50" s="122">
        <f>CNS!E43+CRR!E42</f>
        <v>-751.95999999999879</v>
      </c>
      <c r="I50" s="10">
        <f>IF(I5=$D$2,Consolidated!I47,'Orçamento 2026'!G49)</f>
        <v>271.08</v>
      </c>
      <c r="J50" s="10">
        <f>IF(J5=$D$2,Consolidated!J47,'Orçamento 2026'!H49)</f>
        <v>-3516.4399999999996</v>
      </c>
      <c r="K50" s="122">
        <f>IF(K5=$D$2,Consolidated!K47,'Orçamento 2026'!I49)</f>
        <v>-129.72000000000048</v>
      </c>
      <c r="L50" s="10">
        <f>IF(L5=$D$2,Consolidated!L47,'Orçamento 2026'!J49)</f>
        <v>-955.11544288484095</v>
      </c>
      <c r="M50" s="10">
        <f>IF(M5=$D$2,Consolidated!M47,'Orçamento 2026'!K49)</f>
        <v>-955.11544288484095</v>
      </c>
      <c r="N50" s="122">
        <f>IF(N5=$D$2,Consolidated!N47,'Orçamento 2026'!L49)</f>
        <v>-955.11544288484095</v>
      </c>
      <c r="O50" s="10">
        <f>IF(O5=$D$2,Consolidated!O47,'Orçamento 2026'!M49)</f>
        <v>-955.11544288484095</v>
      </c>
      <c r="P50" s="10">
        <f>IF(P5=$D$2,Consolidated!P47,'Orçamento 2026'!N49)</f>
        <v>-955.11544288484095</v>
      </c>
      <c r="Q50" s="11">
        <f t="shared" si="2"/>
        <v>-11476.427214424195</v>
      </c>
      <c r="R50" s="230">
        <f t="shared" si="8"/>
        <v>-3.6313636357458261E-3</v>
      </c>
      <c r="T50" s="221" t="s">
        <v>19</v>
      </c>
      <c r="U50" s="11">
        <f t="shared" si="1"/>
        <v>-956.36893453534958</v>
      </c>
    </row>
    <row r="51" spans="4:21">
      <c r="D51" s="221" t="s">
        <v>20</v>
      </c>
      <c r="E51" s="122">
        <f>CNS!B44+CRR!B43</f>
        <v>8.6300000000000008</v>
      </c>
      <c r="F51" s="10">
        <f>CNS!C44+CRR!C43</f>
        <v>1.89</v>
      </c>
      <c r="G51" s="10">
        <f>CNS!D44+CRR!D43</f>
        <v>0.6</v>
      </c>
      <c r="H51" s="122">
        <f>CNS!E44+CRR!E43</f>
        <v>3.45</v>
      </c>
      <c r="I51" s="10">
        <f>IF(I5=$D$2,Consolidated!I48,'Orçamento 2026'!G50)</f>
        <v>5.19</v>
      </c>
      <c r="J51" s="10">
        <f>IF(J5=$D$2,Consolidated!J48,'Orçamento 2026'!H50)</f>
        <v>0</v>
      </c>
      <c r="K51" s="122">
        <f>IF(K5=$D$2,Consolidated!K48,'Orçamento 2026'!I50)</f>
        <v>-50</v>
      </c>
      <c r="L51" s="10">
        <f>IF(L5=$D$2,Consolidated!L48,'Orçamento 2026'!J50)</f>
        <v>0</v>
      </c>
      <c r="M51" s="10">
        <f>IF(M5=$D$2,Consolidated!M48,'Orçamento 2026'!K50)</f>
        <v>0</v>
      </c>
      <c r="N51" s="122">
        <f>IF(N5=$D$2,Consolidated!N48,'Orçamento 2026'!L50)</f>
        <v>0</v>
      </c>
      <c r="O51" s="10">
        <f>IF(O5=$D$2,Consolidated!O48,'Orçamento 2026'!M50)</f>
        <v>0</v>
      </c>
      <c r="P51" s="10">
        <f>IF(P5=$D$2,Consolidated!P48,'Orçamento 2026'!N50)</f>
        <v>0</v>
      </c>
      <c r="Q51" s="11">
        <f t="shared" si="2"/>
        <v>-30.24</v>
      </c>
      <c r="R51" s="230">
        <f t="shared" si="8"/>
        <v>-9.5685211340804357E-6</v>
      </c>
      <c r="T51" s="221" t="s">
        <v>20</v>
      </c>
      <c r="U51" s="11">
        <f t="shared" si="1"/>
        <v>-2.52</v>
      </c>
    </row>
    <row r="52" spans="4:21">
      <c r="D52" s="218" t="s">
        <v>21</v>
      </c>
      <c r="E52" s="212">
        <f>CNS!B45+CRR!B44</f>
        <v>-6068.7100000000009</v>
      </c>
      <c r="F52" s="208">
        <f>CNS!C45+CRR!C44</f>
        <v>72233.959999999992</v>
      </c>
      <c r="G52" s="208">
        <f>CNS!D45+CRR!D44</f>
        <v>41699.140000000116</v>
      </c>
      <c r="H52" s="212">
        <f>CNS!E45+CRR!E44</f>
        <v>-16149.219999999905</v>
      </c>
      <c r="I52" s="208">
        <f>I49+I50+I51</f>
        <v>46819.329999999994</v>
      </c>
      <c r="J52" s="208">
        <f t="shared" ref="J52:P52" si="10">J49+J50+J51</f>
        <v>83103.44</v>
      </c>
      <c r="K52" s="212">
        <f t="shared" si="10"/>
        <v>-4902.1899999999468</v>
      </c>
      <c r="L52" s="208">
        <f t="shared" si="10"/>
        <v>33482.731497165179</v>
      </c>
      <c r="M52" s="208">
        <f t="shared" si="10"/>
        <v>33076.510519014228</v>
      </c>
      <c r="N52" s="212">
        <f t="shared" si="10"/>
        <v>-12530.116995224011</v>
      </c>
      <c r="O52" s="208">
        <f t="shared" si="10"/>
        <v>32258.610946156328</v>
      </c>
      <c r="P52" s="208">
        <f t="shared" si="10"/>
        <v>31846.916069463074</v>
      </c>
      <c r="Q52" s="215">
        <f t="shared" si="2"/>
        <v>334870.40203657502</v>
      </c>
      <c r="R52" s="12">
        <f>Q52/$Q$10</f>
        <v>0.10595947483680491</v>
      </c>
      <c r="S52" s="12">
        <f>Q52/$Q$30</f>
        <v>0.23321769175298299</v>
      </c>
      <c r="T52" s="330" t="s">
        <v>21</v>
      </c>
      <c r="U52" s="215">
        <f t="shared" si="1"/>
        <v>27905.86683638125</v>
      </c>
    </row>
    <row r="53" spans="4:21">
      <c r="D53" s="221" t="s">
        <v>22</v>
      </c>
      <c r="E53" s="122">
        <f>CNS!B46+CRR!B45</f>
        <v>-10236.57</v>
      </c>
      <c r="F53" s="10">
        <f>CNS!C46+CRR!C45</f>
        <v>-10119.25</v>
      </c>
      <c r="G53" s="10">
        <f>CNS!D46+CRR!D45</f>
        <v>-8739.58</v>
      </c>
      <c r="H53" s="122">
        <f>CNS!E46+CRR!E45</f>
        <v>-10636.86</v>
      </c>
      <c r="I53" s="10">
        <f>IF(I5=$D$2,Consolidated!I50,'Orçamento 2026'!G52)</f>
        <v>-9270.0299999999988</v>
      </c>
      <c r="J53" s="10">
        <f>IF(J5=$D$2,Consolidated!J50,'Orçamento 2026'!H52)</f>
        <v>-9126.119999999999</v>
      </c>
      <c r="K53" s="122">
        <f>IF(K5=$D$2,Consolidated!K50,'Orçamento 2026'!I52)</f>
        <v>-9386.01</v>
      </c>
      <c r="L53" s="10">
        <f>IF(L5=$D$2,Consolidated!L50,'Orçamento 2026'!J52)</f>
        <v>-9378.5881204026828</v>
      </c>
      <c r="M53" s="10">
        <f>IF(M5=$D$2,Consolidated!M50,'Orçamento 2026'!K52)</f>
        <v>-9378.5881204026828</v>
      </c>
      <c r="N53" s="122">
        <f>IF(N5=$D$2,Consolidated!N50,'Orçamento 2026'!L52)</f>
        <v>-9378.5881204026828</v>
      </c>
      <c r="O53" s="10">
        <f>IF(O5=$D$2,Consolidated!O50,'Orçamento 2026'!M52)</f>
        <v>-9378.5881204026828</v>
      </c>
      <c r="P53" s="10">
        <f>IF(P5=$D$2,Consolidated!P50,'Orçamento 2026'!N52)</f>
        <v>-9378.5881204026828</v>
      </c>
      <c r="Q53" s="11">
        <f t="shared" si="2"/>
        <v>-114407.3606020134</v>
      </c>
      <c r="R53" s="230">
        <f t="shared" si="8"/>
        <v>-3.6200702639375887E-2</v>
      </c>
      <c r="T53" s="221" t="s">
        <v>22</v>
      </c>
      <c r="U53" s="11">
        <f t="shared" si="1"/>
        <v>-9533.9467168344509</v>
      </c>
    </row>
    <row r="54" spans="4:21">
      <c r="D54" s="222" t="s">
        <v>532</v>
      </c>
      <c r="E54" s="123">
        <f>CNS!B47+CRR!B46</f>
        <v>0</v>
      </c>
      <c r="F54" s="6">
        <f>CNS!C47+CRR!C46</f>
        <v>-278.08999999999997</v>
      </c>
      <c r="G54" s="6">
        <f>CNS!D47+CRR!D46</f>
        <v>0</v>
      </c>
      <c r="H54" s="123">
        <f>CNS!E47+CRR!E46</f>
        <v>-558.89</v>
      </c>
      <c r="I54" s="6">
        <f>IF(I5=$D$2,Consolidated!I51,0)</f>
        <v>0</v>
      </c>
      <c r="J54" s="6">
        <f>IF(J5=$D$2,Consolidated!J51,0)</f>
        <v>0</v>
      </c>
      <c r="K54" s="123">
        <f>IF(K5=$D$2,Consolidated!K51,0)</f>
        <v>0</v>
      </c>
      <c r="L54" s="6">
        <f>IF(L5=$D$2,Consolidated!L51,0)</f>
        <v>0</v>
      </c>
      <c r="M54" s="6">
        <f>IF(M5=$D$2,Consolidated!M51,0)</f>
        <v>0</v>
      </c>
      <c r="N54" s="123">
        <f>IF(N5=$D$2,Consolidated!N51,0)</f>
        <v>0</v>
      </c>
      <c r="O54" s="6">
        <f>IF(O5=$D$2,Consolidated!O51,0)</f>
        <v>0</v>
      </c>
      <c r="P54" s="6">
        <f>IF(P5=$D$2,Consolidated!P51,0)</f>
        <v>0</v>
      </c>
      <c r="Q54" s="9">
        <f t="shared" si="2"/>
        <v>-836.98</v>
      </c>
      <c r="R54" s="230">
        <f t="shared" si="8"/>
        <v>-2.6483666728844722E-4</v>
      </c>
      <c r="T54" s="331" t="s">
        <v>532</v>
      </c>
      <c r="U54" s="9">
        <f t="shared" si="1"/>
        <v>-69.748333333333335</v>
      </c>
    </row>
    <row r="55" spans="4:21">
      <c r="D55" s="222" t="s">
        <v>533</v>
      </c>
      <c r="E55" s="123">
        <f>CNS!B48+CRR!B47</f>
        <v>-10236.57</v>
      </c>
      <c r="F55" s="6">
        <f>CNS!C48+CRR!C47</f>
        <v>-9841.16</v>
      </c>
      <c r="G55" s="6">
        <f>CNS!D48+CRR!D47</f>
        <v>-8739.58</v>
      </c>
      <c r="H55" s="123">
        <f>CNS!E48+CRR!E47</f>
        <v>-10077.970000000001</v>
      </c>
      <c r="I55" s="6">
        <f>IF(I5=$D$2,Consolidated!I52,0)</f>
        <v>-9270.0299999999988</v>
      </c>
      <c r="J55" s="6">
        <f>IF(J5=$D$2,Consolidated!J52,0)</f>
        <v>-9126.119999999999</v>
      </c>
      <c r="K55" s="123">
        <f>IF(K5=$D$2,Consolidated!K52,0)</f>
        <v>-9386.01</v>
      </c>
      <c r="L55" s="6">
        <f>IF(L5=$D$2,Consolidated!L52,0)</f>
        <v>0</v>
      </c>
      <c r="M55" s="6">
        <f>IF(M5=$D$2,Consolidated!M52,0)</f>
        <v>0</v>
      </c>
      <c r="N55" s="123">
        <f>IF(N5=$D$2,Consolidated!N52,0)</f>
        <v>0</v>
      </c>
      <c r="O55" s="6">
        <f>IF(O5=$D$2,Consolidated!O52,0)</f>
        <v>0</v>
      </c>
      <c r="P55" s="6">
        <f>IF(P5=$D$2,Consolidated!P52,0)</f>
        <v>0</v>
      </c>
      <c r="Q55" s="9">
        <f t="shared" si="2"/>
        <v>-66677.439999999988</v>
      </c>
      <c r="R55" s="230">
        <f t="shared" si="8"/>
        <v>-2.1098032202591935E-2</v>
      </c>
      <c r="T55" s="331" t="s">
        <v>533</v>
      </c>
      <c r="U55" s="9">
        <f t="shared" si="1"/>
        <v>-5556.453333333332</v>
      </c>
    </row>
    <row r="56" spans="4:21">
      <c r="D56" s="223" t="s">
        <v>23</v>
      </c>
      <c r="E56" s="213">
        <f>CNS!B49+CRR!B48</f>
        <v>-16305.28</v>
      </c>
      <c r="F56" s="211">
        <f>CNS!C49+CRR!C48</f>
        <v>62114.709999999992</v>
      </c>
      <c r="G56" s="211">
        <f>CNS!D49+CRR!D48</f>
        <v>32959.560000000121</v>
      </c>
      <c r="H56" s="213">
        <f>CNS!E49+CRR!E48</f>
        <v>-26786.079999999907</v>
      </c>
      <c r="I56" s="211">
        <f>I52+I53</f>
        <v>37549.299999999996</v>
      </c>
      <c r="J56" s="211">
        <f t="shared" ref="J56:P56" si="11">J52+J53</f>
        <v>73977.320000000007</v>
      </c>
      <c r="K56" s="213">
        <f t="shared" si="11"/>
        <v>-14288.199999999946</v>
      </c>
      <c r="L56" s="211">
        <f t="shared" si="11"/>
        <v>24104.143376762499</v>
      </c>
      <c r="M56" s="211">
        <f t="shared" si="11"/>
        <v>23697.922398611547</v>
      </c>
      <c r="N56" s="213">
        <f t="shared" si="11"/>
        <v>-21908.705115626693</v>
      </c>
      <c r="O56" s="211">
        <f t="shared" si="11"/>
        <v>22880.022825753644</v>
      </c>
      <c r="P56" s="211">
        <f t="shared" si="11"/>
        <v>22468.327949060389</v>
      </c>
      <c r="Q56" s="216">
        <f>SUM(E56:P56)</f>
        <v>220463.04143456166</v>
      </c>
      <c r="R56" s="12">
        <f>Q56/$Q$10</f>
        <v>6.9758772197429042E-2</v>
      </c>
      <c r="S56" s="12">
        <f>Q56/$Q$30</f>
        <v>0.15353964198542397</v>
      </c>
      <c r="T56" s="332" t="s">
        <v>23</v>
      </c>
      <c r="U56" s="216">
        <f t="shared" si="1"/>
        <v>18371.920119546805</v>
      </c>
    </row>
    <row r="61" spans="4:21">
      <c r="D61" s="13" t="s">
        <v>27</v>
      </c>
      <c r="E61" s="14">
        <f>E49+(-E24)</f>
        <v>96700.12</v>
      </c>
      <c r="F61" s="14">
        <f t="shared" ref="F61:P61" si="12">F49+(-F24)</f>
        <v>97237.609999999986</v>
      </c>
      <c r="G61" s="14">
        <f t="shared" si="12"/>
        <v>69380.730000000112</v>
      </c>
      <c r="H61" s="14">
        <f>H49+(-H24)</f>
        <v>74481.450000000099</v>
      </c>
      <c r="I61" s="14">
        <f t="shared" si="12"/>
        <v>69807.299999999988</v>
      </c>
      <c r="J61" s="14">
        <f t="shared" si="12"/>
        <v>111794.45000000001</v>
      </c>
      <c r="K61" s="14">
        <f t="shared" si="12"/>
        <v>103892.87000000005</v>
      </c>
      <c r="L61" s="14">
        <f t="shared" si="12"/>
        <v>67866.887441019455</v>
      </c>
      <c r="M61" s="14">
        <f t="shared" si="12"/>
        <v>67460.66646286851</v>
      </c>
      <c r="N61" s="14">
        <f t="shared" si="12"/>
        <v>67052.628986809403</v>
      </c>
      <c r="O61" s="14">
        <f t="shared" si="12"/>
        <v>66642.766890010607</v>
      </c>
      <c r="P61" s="14">
        <f t="shared" si="12"/>
        <v>66231.072013317345</v>
      </c>
      <c r="Q61" s="14">
        <f>Q49+(-Q24)</f>
        <v>958548.55179402558</v>
      </c>
      <c r="R61" s="365">
        <f>Q49/Q61</f>
        <v>0.36135579006688573</v>
      </c>
    </row>
    <row r="62" spans="4:21" outlineLevel="1">
      <c r="D62" s="13" t="s">
        <v>28</v>
      </c>
      <c r="E62" s="14">
        <f>IF(E5=$D$2,Caixa!F6,'Orçamento 2026'!C129)</f>
        <v>328679.42</v>
      </c>
      <c r="F62" s="14">
        <f>IF(F5=$D$2,Caixa!G6,Projeção!E62+'Orçamento 2026'!D53)</f>
        <v>326651.90999999997</v>
      </c>
      <c r="G62" s="14">
        <f>IF(G5=$D$2,Caixa!H6,Projeção!F62+'Orçamento 2026'!E53)</f>
        <v>359161.59</v>
      </c>
      <c r="H62" s="14">
        <f>IF(H5=$D$2,Caixa!I6,Projeção!G62+'Orçamento 2026'!F53)</f>
        <v>358806.95999999996</v>
      </c>
      <c r="I62" s="14">
        <f>IF(I5=$D$2,Caixa!J6,Projeção!H62+'Orçamento 2026'!G53)</f>
        <v>423235.4800000001</v>
      </c>
      <c r="J62" s="14">
        <f>IF(J5=$D$2,Caixa!K6,Projeção!I62+'Orçamento 2026'!H53-50000)</f>
        <v>430815.65</v>
      </c>
      <c r="K62" s="14">
        <f>IF(K5=$D$2,Caixa!L6,Projeção!J62+'Orçamento 2026'!I53-50000)</f>
        <v>358819.06</v>
      </c>
      <c r="L62" s="14">
        <f>IF(L5=$D$2,Caixa!M6,Projeção!K62+'Orçamento 2026'!J53-50000)</f>
        <v>332923.20337676251</v>
      </c>
      <c r="M62" s="14">
        <f>IF(M5=$D$2,Caixa!N6,Projeção!L62+'Orçamento 2026'!K53)</f>
        <v>356621.12577537406</v>
      </c>
      <c r="N62" s="14">
        <f>IF(N5=$D$2,Caixa!O6,Projeção!M62+'Orçamento 2026'!L53)</f>
        <v>334712.42065974738</v>
      </c>
      <c r="O62" s="14">
        <f>IF(O5=$D$2,Caixa!P6,Projeção!N62+'Orçamento 2026'!M53)</f>
        <v>357592.44348550105</v>
      </c>
      <c r="P62" s="14">
        <f>IF(P5=$D$2,Caixa!Q6,Projeção!O62+'Orçamento 2026'!N53)</f>
        <v>380060.77143456147</v>
      </c>
      <c r="Q62" s="14"/>
    </row>
    <row r="63" spans="4:21" outlineLevel="1">
      <c r="D63" s="13" t="s">
        <v>29</v>
      </c>
      <c r="E63" s="14">
        <f>'Orçamento 2026'!C129</f>
        <v>328679.42</v>
      </c>
      <c r="F63" s="14">
        <f>'Orçamento 2026'!D129</f>
        <v>375009.95311790355</v>
      </c>
      <c r="G63" s="14">
        <f>'Orçamento 2026'!E129</f>
        <v>422405.7776815762</v>
      </c>
      <c r="H63" s="14">
        <f>'Orçamento 2026'!F129</f>
        <v>390575.13483866001</v>
      </c>
      <c r="I63" s="14">
        <f>'Orçamento 2026'!G129</f>
        <v>437901.91444082774</v>
      </c>
      <c r="J63" s="14">
        <f>'Orçamento 2026'!H129</f>
        <v>427111.47848492453</v>
      </c>
      <c r="K63" s="14">
        <f>'Orçamento 2026'!I129</f>
        <v>365928.65357795119</v>
      </c>
      <c r="L63" s="14">
        <f>'Orçamento 2026'!J129</f>
        <v>332532.7969547137</v>
      </c>
      <c r="M63" s="14">
        <f>'Orçamento 2026'!K129</f>
        <v>348730.71935332526</v>
      </c>
      <c r="N63" s="14">
        <f>'Orçamento 2026'!L129</f>
        <v>326822.01423769858</v>
      </c>
      <c r="O63" s="14">
        <f>'Orçamento 2026'!M129</f>
        <v>349702.03706345224</v>
      </c>
      <c r="P63" s="14">
        <f>'Orçamento 2026'!N129</f>
        <v>372170.36501251266</v>
      </c>
      <c r="Q63" s="14"/>
    </row>
    <row r="64" spans="4:21" outlineLevel="1">
      <c r="D64" s="13" t="s">
        <v>30</v>
      </c>
      <c r="E64" s="14">
        <f>IF(E62&gt;0,E62-E63,0)</f>
        <v>0</v>
      </c>
      <c r="F64" s="14">
        <f t="shared" ref="F64:P64" si="13">IF(F62&gt;0,F62-F63,0)</f>
        <v>-48358.04311790358</v>
      </c>
      <c r="G64" s="14">
        <f t="shared" si="13"/>
        <v>-63244.187681576179</v>
      </c>
      <c r="H64" s="14">
        <f t="shared" si="13"/>
        <v>-31768.174838660052</v>
      </c>
      <c r="I64" s="14">
        <f t="shared" si="13"/>
        <v>-14666.434440827637</v>
      </c>
      <c r="J64" s="14">
        <f t="shared" si="13"/>
        <v>3704.1715150754899</v>
      </c>
      <c r="K64" s="14">
        <f t="shared" si="13"/>
        <v>-7109.5935779511929</v>
      </c>
      <c r="L64" s="14">
        <f t="shared" si="13"/>
        <v>390.40642204880714</v>
      </c>
      <c r="M64" s="14">
        <f t="shared" si="13"/>
        <v>7890.4064220488071</v>
      </c>
      <c r="N64" s="14">
        <f t="shared" si="13"/>
        <v>7890.4064220488071</v>
      </c>
      <c r="O64" s="14">
        <f t="shared" si="13"/>
        <v>7890.4064220488071</v>
      </c>
      <c r="P64" s="14">
        <f t="shared" si="13"/>
        <v>7890.4064220488071</v>
      </c>
      <c r="Q64" s="14"/>
    </row>
    <row r="66" spans="4:28">
      <c r="D66" s="13" t="s">
        <v>31</v>
      </c>
      <c r="E66" s="18">
        <f>IF(E61&lt;&gt;0,E61/E10,"")</f>
        <v>0.34236926245857008</v>
      </c>
      <c r="F66" s="18">
        <f t="shared" ref="F66:P66" si="14">IF(F61&lt;&gt;0,F61/F10,"")</f>
        <v>0.34118909779300943</v>
      </c>
      <c r="G66" s="18">
        <f t="shared" si="14"/>
        <v>0.25433159204659478</v>
      </c>
      <c r="H66" s="18">
        <f t="shared" si="14"/>
        <v>0.27924892798881018</v>
      </c>
      <c r="I66" s="18">
        <f t="shared" si="14"/>
        <v>0.25170788294773766</v>
      </c>
      <c r="J66" s="18">
        <f t="shared" si="14"/>
        <v>0.37072303899745673</v>
      </c>
      <c r="K66" s="18">
        <f t="shared" si="14"/>
        <v>0.37022739152305689</v>
      </c>
      <c r="L66" s="18">
        <f t="shared" si="14"/>
        <v>0.28422485657245194</v>
      </c>
      <c r="M66" s="18">
        <f t="shared" si="14"/>
        <v>0.28252361310004409</v>
      </c>
      <c r="N66" s="18">
        <f t="shared" si="14"/>
        <v>0.28081476217904267</v>
      </c>
      <c r="O66" s="18">
        <f t="shared" si="14"/>
        <v>0.27909826979122893</v>
      </c>
      <c r="P66" s="18">
        <f t="shared" si="14"/>
        <v>0.2773741017662632</v>
      </c>
      <c r="Q66" s="18">
        <f>IF(Q61&lt;&gt;0,Q61/Q10,"")</f>
        <v>0.30330330938767625</v>
      </c>
    </row>
    <row r="67" spans="4:28">
      <c r="D67" s="13" t="s">
        <v>32</v>
      </c>
      <c r="E67" s="18">
        <f>IF(E37&lt;&gt;0,E37/E10,"")</f>
        <v>6.6091064516769729E-2</v>
      </c>
      <c r="F67" s="18">
        <f t="shared" ref="F67:Q67" si="15">IF(F37&lt;&gt;0,F37/F10,"")</f>
        <v>0.34168001655039376</v>
      </c>
      <c r="G67" s="18">
        <f t="shared" si="15"/>
        <v>0.24440462638154828</v>
      </c>
      <c r="H67" s="18">
        <f t="shared" si="15"/>
        <v>2.1487126811300977E-2</v>
      </c>
      <c r="I67" s="18">
        <f t="shared" si="15"/>
        <v>0.24243489578544436</v>
      </c>
      <c r="J67" s="18">
        <f t="shared" si="15"/>
        <v>0.35445415501840488</v>
      </c>
      <c r="K67" s="18">
        <f t="shared" si="15"/>
        <v>9.1407041887529711E-2</v>
      </c>
      <c r="L67" s="18">
        <f t="shared" si="15"/>
        <v>0.24514011956752521</v>
      </c>
      <c r="M67" s="18">
        <f t="shared" si="15"/>
        <v>0.24389013876736548</v>
      </c>
      <c r="N67" s="18">
        <f t="shared" si="15"/>
        <v>5.3343984239253406E-2</v>
      </c>
      <c r="O67" s="18">
        <f t="shared" si="15"/>
        <v>0.24137338355894464</v>
      </c>
      <c r="P67" s="18">
        <f t="shared" si="15"/>
        <v>0.24010655904945447</v>
      </c>
      <c r="Q67" s="18">
        <f t="shared" si="15"/>
        <v>0.20019776499236411</v>
      </c>
    </row>
    <row r="68" spans="4:28" s="209" customFormat="1">
      <c r="D68" s="13" t="s">
        <v>33</v>
      </c>
      <c r="E68" s="18">
        <f>IF(E52&lt;&gt;0,E52/E10,"")</f>
        <v>-2.1486423871810597E-2</v>
      </c>
      <c r="F68" s="18">
        <f t="shared" ref="F68:Q68" si="16">IF(F52&lt;&gt;0,F52/F10,"")</f>
        <v>0.25345583506645558</v>
      </c>
      <c r="G68" s="18">
        <f t="shared" si="16"/>
        <v>0.15285813024991024</v>
      </c>
      <c r="H68" s="18">
        <f t="shared" si="16"/>
        <v>-6.0547322492451747E-2</v>
      </c>
      <c r="I68" s="18">
        <f t="shared" si="16"/>
        <v>0.16881894064562736</v>
      </c>
      <c r="J68" s="18">
        <f t="shared" si="16"/>
        <v>0.27558040518060428</v>
      </c>
      <c r="K68" s="18">
        <f t="shared" si="16"/>
        <v>-1.7469197033929216E-2</v>
      </c>
      <c r="L68" s="18">
        <f t="shared" si="16"/>
        <v>0.14022485657245193</v>
      </c>
      <c r="M68" s="18">
        <f t="shared" si="16"/>
        <v>0.13852361310004405</v>
      </c>
      <c r="N68" s="18">
        <f t="shared" si="16"/>
        <v>-5.2475822011119042E-2</v>
      </c>
      <c r="O68" s="18">
        <f t="shared" si="16"/>
        <v>0.13509826979122891</v>
      </c>
      <c r="P68" s="18">
        <f t="shared" si="16"/>
        <v>0.13337410176626319</v>
      </c>
      <c r="Q68" s="18">
        <f t="shared" si="16"/>
        <v>0.10595947483680491</v>
      </c>
      <c r="S68" s="206"/>
      <c r="T68" s="206"/>
      <c r="U68" s="206"/>
      <c r="V68" s="206"/>
      <c r="W68" s="206"/>
      <c r="X68" s="206"/>
      <c r="Y68" s="206"/>
      <c r="Z68" s="206"/>
      <c r="AA68" s="206"/>
      <c r="AB68" s="206"/>
    </row>
    <row r="69" spans="4:28" s="209" customFormat="1">
      <c r="D69" s="13" t="s">
        <v>34</v>
      </c>
      <c r="E69" s="18">
        <f>IF(E56&lt;&gt;0,E56/E10,"")</f>
        <v>-5.7729263291301749E-2</v>
      </c>
      <c r="F69" s="18">
        <f t="shared" ref="F69:Q69" si="17">IF(F56&lt;&gt;0,F56/F10,"")</f>
        <v>0.21794922627751157</v>
      </c>
      <c r="G69" s="18">
        <f t="shared" si="17"/>
        <v>0.1208211180244901</v>
      </c>
      <c r="H69" s="18">
        <f t="shared" si="17"/>
        <v>-0.10042747724463572</v>
      </c>
      <c r="I69" s="18">
        <f t="shared" si="17"/>
        <v>0.13539350195709454</v>
      </c>
      <c r="J69" s="18">
        <f t="shared" si="17"/>
        <v>0.24531715919070524</v>
      </c>
      <c r="K69" s="18">
        <f t="shared" si="17"/>
        <v>-5.0916708870971793E-2</v>
      </c>
      <c r="L69" s="18">
        <f t="shared" si="17"/>
        <v>0.10094756003089254</v>
      </c>
      <c r="M69" s="18">
        <f t="shared" si="17"/>
        <v>9.9246316558484649E-2</v>
      </c>
      <c r="N69" s="18">
        <f t="shared" si="17"/>
        <v>-9.1753118552678439E-2</v>
      </c>
      <c r="O69" s="18">
        <f t="shared" si="17"/>
        <v>9.5820973249669497E-2</v>
      </c>
      <c r="P69" s="18">
        <f t="shared" si="17"/>
        <v>9.4096805224703775E-2</v>
      </c>
      <c r="Q69" s="18">
        <f t="shared" si="17"/>
        <v>6.9758772197429042E-2</v>
      </c>
      <c r="S69" s="206"/>
      <c r="T69" s="206"/>
      <c r="U69" s="206"/>
      <c r="V69" s="206"/>
      <c r="W69" s="206"/>
      <c r="X69" s="206"/>
      <c r="Y69" s="206"/>
      <c r="Z69" s="206"/>
      <c r="AA69" s="206"/>
      <c r="AB69" s="206"/>
    </row>
    <row r="73" spans="4:28" s="209" customFormat="1">
      <c r="D73" s="242"/>
      <c r="E73" s="243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</row>
    <row r="74" spans="4:28" s="209" customFormat="1">
      <c r="D74" s="242"/>
      <c r="E74" s="243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</row>
    <row r="78" spans="4:28">
      <c r="J78" s="273"/>
      <c r="K78" s="273"/>
      <c r="L78" s="273"/>
      <c r="M78" s="273"/>
      <c r="N78" s="273"/>
      <c r="O78" s="273"/>
      <c r="P78" s="273"/>
    </row>
    <row r="79" spans="4:28">
      <c r="J79" s="273"/>
      <c r="K79" s="273"/>
      <c r="L79" s="273"/>
      <c r="M79" s="273"/>
      <c r="N79" s="273"/>
      <c r="O79" s="273"/>
      <c r="P79" s="273"/>
    </row>
  </sheetData>
  <dataValidations count="1">
    <dataValidation type="list" allowBlank="1" showInputMessage="1" showErrorMessage="1" sqref="E5:P5" xr:uid="{1F05557F-A796-C644-8E83-5CFF4A62CDFA}">
      <formula1>$D$2:$D$3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AG64"/>
  <sheetViews>
    <sheetView topLeftCell="S14" zoomScale="70" zoomScaleNormal="70" workbookViewId="0">
      <selection activeCell="J59" sqref="J59"/>
    </sheetView>
  </sheetViews>
  <sheetFormatPr baseColWidth="10" defaultColWidth="10.6640625" defaultRowHeight="15" outlineLevelCol="1"/>
  <cols>
    <col min="5" max="5" width="20.6640625" style="5" customWidth="1"/>
    <col min="6" max="6" width="12.6640625" style="5" customWidth="1"/>
    <col min="7" max="8" width="12.5" style="5" customWidth="1"/>
    <col min="9" max="10" width="12.5" customWidth="1"/>
    <col min="12" max="12" width="10.6640625" customWidth="1" outlineLevel="1"/>
    <col min="13" max="13" width="12.5" customWidth="1" outlineLevel="1"/>
    <col min="14" max="14" width="13" customWidth="1" outlineLevel="1"/>
    <col min="15" max="15" width="10.6640625" customWidth="1" outlineLevel="1"/>
    <col min="16" max="16" width="11.5" style="327" customWidth="1" outlineLevel="1"/>
    <col min="17" max="17" width="13" style="328" customWidth="1" outlineLevel="1"/>
    <col min="18" max="18" width="12.5" style="327" customWidth="1" outlineLevel="1"/>
    <col min="19" max="19" width="13" style="327" customWidth="1" outlineLevel="1"/>
  </cols>
  <sheetData>
    <row r="3" spans="4:33" ht="45" customHeight="1">
      <c r="D3" s="16" t="s">
        <v>165</v>
      </c>
      <c r="E3" s="16" t="s">
        <v>9</v>
      </c>
      <c r="F3" s="16" t="s">
        <v>18</v>
      </c>
      <c r="G3" s="16" t="s">
        <v>21</v>
      </c>
      <c r="H3" s="16" t="s">
        <v>23</v>
      </c>
      <c r="I3" s="16" t="s">
        <v>166</v>
      </c>
      <c r="J3" s="17" t="s">
        <v>28</v>
      </c>
      <c r="L3" s="16" t="s">
        <v>165</v>
      </c>
      <c r="M3" s="16" t="s">
        <v>600</v>
      </c>
      <c r="N3" s="16" t="s">
        <v>601</v>
      </c>
      <c r="P3" s="16"/>
      <c r="Q3" s="324" t="s">
        <v>602</v>
      </c>
      <c r="R3" s="16" t="s">
        <v>600</v>
      </c>
      <c r="S3" s="16" t="s">
        <v>601</v>
      </c>
    </row>
    <row r="4" spans="4:33" ht="15" customHeight="1">
      <c r="D4" s="107">
        <v>44562</v>
      </c>
      <c r="E4" s="5">
        <v>113542.34</v>
      </c>
      <c r="F4" s="5">
        <v>40630.820000000007</v>
      </c>
      <c r="G4" s="5">
        <v>39783.240000000013</v>
      </c>
      <c r="H4" s="5">
        <v>39783.240000000013</v>
      </c>
      <c r="I4" s="3">
        <f>H4</f>
        <v>39783.240000000013</v>
      </c>
      <c r="J4" s="3"/>
      <c r="L4" s="107">
        <f>D4</f>
        <v>44562</v>
      </c>
      <c r="M4" s="5">
        <f>IF(H4&gt;=0,H4,NA())</f>
        <v>39783.240000000013</v>
      </c>
      <c r="N4" s="5" t="e">
        <f>IF(H4&lt;0,H4,NA())</f>
        <v>#N/A</v>
      </c>
      <c r="P4" s="17"/>
      <c r="Q4" s="329"/>
      <c r="R4" s="17" t="e">
        <f>NA()</f>
        <v>#N/A</v>
      </c>
      <c r="S4" s="17" t="e">
        <f>NA()</f>
        <v>#N/A</v>
      </c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</row>
    <row r="5" spans="4:33" ht="15" customHeight="1">
      <c r="D5" s="107">
        <v>44593</v>
      </c>
      <c r="E5" s="5">
        <v>88704.79</v>
      </c>
      <c r="F5" s="5">
        <v>8039.5800000000045</v>
      </c>
      <c r="G5" s="5">
        <v>7270.3800000000047</v>
      </c>
      <c r="H5" s="5">
        <v>7270.3800000000047</v>
      </c>
      <c r="I5" s="3">
        <f>H5+I4</f>
        <v>47053.620000000017</v>
      </c>
      <c r="J5" s="3"/>
      <c r="L5" s="107">
        <f t="shared" ref="L5:L63" si="0">D5</f>
        <v>44593</v>
      </c>
      <c r="M5" s="5">
        <f t="shared" ref="M5:M8" si="1">IF(H5&gt;=0,H5,NA())</f>
        <v>7270.3800000000047</v>
      </c>
      <c r="N5" s="5" t="e">
        <f t="shared" ref="N5:N8" si="2">IF(H5&lt;0,H5,NA())</f>
        <v>#N/A</v>
      </c>
      <c r="P5" s="396" t="s">
        <v>603</v>
      </c>
      <c r="Q5" s="390">
        <f>SUM(H4:H6)</f>
        <v>51025.550000000025</v>
      </c>
      <c r="R5" s="393">
        <f>IF(Q5&gt;=0,Q5,NA())</f>
        <v>51025.550000000025</v>
      </c>
      <c r="S5" s="393" t="e">
        <f>IF(Q5&lt;0,Q5,NA())</f>
        <v>#N/A</v>
      </c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</row>
    <row r="6" spans="4:33" ht="15" customHeight="1">
      <c r="D6" s="108">
        <v>44621</v>
      </c>
      <c r="E6" s="109">
        <v>101759.95</v>
      </c>
      <c r="F6" s="109">
        <v>5219.4100000000035</v>
      </c>
      <c r="G6" s="109">
        <v>3971.9300000000048</v>
      </c>
      <c r="H6" s="109">
        <v>3971.9300000000048</v>
      </c>
      <c r="I6" s="110">
        <f t="shared" ref="I6:I40" si="3">H6+I5</f>
        <v>51025.550000000025</v>
      </c>
      <c r="J6" s="110"/>
      <c r="L6" s="108">
        <f t="shared" si="0"/>
        <v>44621</v>
      </c>
      <c r="M6" s="109">
        <f t="shared" si="1"/>
        <v>3971.9300000000048</v>
      </c>
      <c r="N6" s="109" t="e">
        <f t="shared" si="2"/>
        <v>#N/A</v>
      </c>
      <c r="P6" s="397"/>
      <c r="Q6" s="391"/>
      <c r="R6" s="394"/>
      <c r="S6" s="394"/>
      <c r="V6" s="323"/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</row>
    <row r="7" spans="4:33" ht="15" customHeight="1">
      <c r="D7" s="107">
        <v>44652</v>
      </c>
      <c r="E7" s="5">
        <v>117039.51999999999</v>
      </c>
      <c r="F7" s="5">
        <v>-119450.82</v>
      </c>
      <c r="G7" s="5">
        <v>-120711.43</v>
      </c>
      <c r="H7" s="5">
        <v>-120711.43</v>
      </c>
      <c r="I7" s="3">
        <f t="shared" si="3"/>
        <v>-69685.879999999976</v>
      </c>
      <c r="J7" s="3"/>
      <c r="L7" s="107">
        <f t="shared" si="0"/>
        <v>44652</v>
      </c>
      <c r="M7" s="5" t="e">
        <f t="shared" si="1"/>
        <v>#N/A</v>
      </c>
      <c r="N7" s="5">
        <f t="shared" si="2"/>
        <v>-120711.43</v>
      </c>
      <c r="P7" s="398"/>
      <c r="Q7" s="392"/>
      <c r="R7" s="395"/>
      <c r="S7" s="395"/>
    </row>
    <row r="8" spans="4:33" ht="15" customHeight="1">
      <c r="D8" s="107">
        <v>44682</v>
      </c>
      <c r="E8" s="5">
        <v>110435.48000000001</v>
      </c>
      <c r="F8" s="5">
        <v>-8858.6299999999865</v>
      </c>
      <c r="G8" s="5">
        <v>-10290.099999999984</v>
      </c>
      <c r="H8" s="5">
        <v>-10290.099999999984</v>
      </c>
      <c r="I8" s="3">
        <f t="shared" si="3"/>
        <v>-79975.979999999952</v>
      </c>
      <c r="J8" s="3"/>
      <c r="L8" s="107">
        <f t="shared" si="0"/>
        <v>44682</v>
      </c>
      <c r="M8" s="5" t="e">
        <f t="shared" si="1"/>
        <v>#N/A</v>
      </c>
      <c r="N8" s="5">
        <f t="shared" si="2"/>
        <v>-10290.099999999984</v>
      </c>
      <c r="P8" s="396" t="s">
        <v>604</v>
      </c>
      <c r="Q8" s="390">
        <f>SUM(H7:H9)</f>
        <v>-128684.78999999996</v>
      </c>
      <c r="R8" s="393" t="e">
        <f>IF(Q8&gt;=0,Q8,NA())</f>
        <v>#N/A</v>
      </c>
      <c r="S8" s="393">
        <f>IF(Q8&lt;0,Q8,NA())</f>
        <v>-128684.78999999996</v>
      </c>
    </row>
    <row r="9" spans="4:33" ht="15" customHeight="1">
      <c r="D9" s="108">
        <v>44713</v>
      </c>
      <c r="E9" s="109">
        <v>111353.54000000001</v>
      </c>
      <c r="F9" s="109">
        <v>3518.8400000000029</v>
      </c>
      <c r="G9" s="109">
        <v>2316.7400000000034</v>
      </c>
      <c r="H9" s="109">
        <v>2316.7400000000034</v>
      </c>
      <c r="I9" s="110">
        <f t="shared" si="3"/>
        <v>-77659.239999999947</v>
      </c>
      <c r="J9" s="110"/>
      <c r="L9" s="108">
        <f t="shared" si="0"/>
        <v>44713</v>
      </c>
      <c r="M9" s="109">
        <f t="shared" ref="M9:M63" si="4">IF(H9&gt;=0,H9,NA())</f>
        <v>2316.7400000000034</v>
      </c>
      <c r="N9" s="109" t="e">
        <f t="shared" ref="N9:N63" si="5">IF(H9&lt;0,H9,NA())</f>
        <v>#N/A</v>
      </c>
      <c r="P9" s="397"/>
      <c r="Q9" s="391"/>
      <c r="R9" s="394"/>
      <c r="S9" s="394"/>
    </row>
    <row r="10" spans="4:33" ht="15" customHeight="1">
      <c r="D10" s="107">
        <v>44743</v>
      </c>
      <c r="E10" s="5">
        <v>92137.23000000001</v>
      </c>
      <c r="F10" s="5">
        <v>-5657.5099999999948</v>
      </c>
      <c r="G10" s="5">
        <v>-6944.5299999999934</v>
      </c>
      <c r="H10" s="5">
        <v>-6944.5299999999934</v>
      </c>
      <c r="I10" s="3">
        <f t="shared" si="3"/>
        <v>-84603.769999999946</v>
      </c>
      <c r="J10" s="3"/>
      <c r="L10" s="107">
        <f t="shared" si="0"/>
        <v>44743</v>
      </c>
      <c r="M10" s="5" t="e">
        <f t="shared" si="4"/>
        <v>#N/A</v>
      </c>
      <c r="N10" s="5">
        <f t="shared" si="5"/>
        <v>-6944.5299999999934</v>
      </c>
      <c r="P10" s="398"/>
      <c r="Q10" s="392"/>
      <c r="R10" s="395"/>
      <c r="S10" s="395"/>
    </row>
    <row r="11" spans="4:33" ht="15" customHeight="1">
      <c r="D11" s="107">
        <v>44774</v>
      </c>
      <c r="E11" s="5">
        <v>80269.7</v>
      </c>
      <c r="F11" s="5">
        <v>-654.66000000000167</v>
      </c>
      <c r="G11" s="5">
        <v>-1944.2300000000014</v>
      </c>
      <c r="H11" s="5">
        <v>-1944.2300000000014</v>
      </c>
      <c r="I11" s="3">
        <f t="shared" si="3"/>
        <v>-86547.999999999942</v>
      </c>
      <c r="J11" s="3"/>
      <c r="L11" s="107">
        <f t="shared" si="0"/>
        <v>44774</v>
      </c>
      <c r="M11" s="5" t="e">
        <f t="shared" si="4"/>
        <v>#N/A</v>
      </c>
      <c r="N11" s="5">
        <f t="shared" si="5"/>
        <v>-1944.2300000000014</v>
      </c>
      <c r="P11" s="396" t="s">
        <v>605</v>
      </c>
      <c r="Q11" s="390">
        <f t="shared" ref="Q11" si="6">SUM(H10:H12)</f>
        <v>63263.910000000018</v>
      </c>
      <c r="R11" s="393">
        <f t="shared" ref="R11" si="7">IF(Q11&gt;=0,Q11,NA())</f>
        <v>63263.910000000018</v>
      </c>
      <c r="S11" s="393" t="e">
        <f t="shared" ref="S11" si="8">IF(Q11&lt;0,Q11,NA())</f>
        <v>#N/A</v>
      </c>
    </row>
    <row r="12" spans="4:33" ht="15" customHeight="1">
      <c r="D12" s="108">
        <v>44805</v>
      </c>
      <c r="E12" s="109">
        <v>86537.23</v>
      </c>
      <c r="F12" s="109">
        <v>16906.12000000001</v>
      </c>
      <c r="G12" s="109">
        <v>15731.660000000009</v>
      </c>
      <c r="H12" s="109">
        <v>72152.670000000013</v>
      </c>
      <c r="I12" s="110">
        <f t="shared" si="3"/>
        <v>-14395.329999999929</v>
      </c>
      <c r="J12" s="110"/>
      <c r="L12" s="108">
        <f t="shared" si="0"/>
        <v>44805</v>
      </c>
      <c r="M12" s="109">
        <f t="shared" si="4"/>
        <v>72152.670000000013</v>
      </c>
      <c r="N12" s="109" t="e">
        <f t="shared" si="5"/>
        <v>#N/A</v>
      </c>
      <c r="P12" s="397"/>
      <c r="Q12" s="391"/>
      <c r="R12" s="394"/>
      <c r="S12" s="394"/>
    </row>
    <row r="13" spans="4:33" ht="15" customHeight="1">
      <c r="D13" s="107">
        <v>44835</v>
      </c>
      <c r="E13" s="5">
        <v>78188.329999999987</v>
      </c>
      <c r="F13" s="5">
        <v>-28267.990000000013</v>
      </c>
      <c r="G13" s="5">
        <v>-29851.530000000013</v>
      </c>
      <c r="H13" s="5">
        <v>-29851.530000000013</v>
      </c>
      <c r="I13" s="3">
        <f t="shared" si="3"/>
        <v>-44246.859999999942</v>
      </c>
      <c r="J13" s="3"/>
      <c r="L13" s="107">
        <f t="shared" si="0"/>
        <v>44835</v>
      </c>
      <c r="M13" s="5" t="e">
        <f t="shared" si="4"/>
        <v>#N/A</v>
      </c>
      <c r="N13" s="5">
        <f t="shared" si="5"/>
        <v>-29851.530000000013</v>
      </c>
      <c r="P13" s="398"/>
      <c r="Q13" s="392"/>
      <c r="R13" s="395"/>
      <c r="S13" s="395"/>
    </row>
    <row r="14" spans="4:33" ht="15" customHeight="1">
      <c r="D14" s="107">
        <v>44866</v>
      </c>
      <c r="E14" s="5">
        <v>85108.650000000009</v>
      </c>
      <c r="F14" s="5">
        <v>-5760.4499999999935</v>
      </c>
      <c r="G14" s="5">
        <v>-7189.3699999999917</v>
      </c>
      <c r="H14" s="5">
        <v>-7189.3699999999917</v>
      </c>
      <c r="I14" s="3">
        <f t="shared" si="3"/>
        <v>-51436.229999999938</v>
      </c>
      <c r="J14" s="3"/>
      <c r="L14" s="107">
        <f t="shared" si="0"/>
        <v>44866</v>
      </c>
      <c r="M14" s="5" t="e">
        <f t="shared" si="4"/>
        <v>#N/A</v>
      </c>
      <c r="N14" s="5">
        <f t="shared" si="5"/>
        <v>-7189.3699999999917</v>
      </c>
      <c r="P14" s="396" t="s">
        <v>606</v>
      </c>
      <c r="Q14" s="390">
        <f t="shared" ref="Q14" si="9">SUM(H13:H15)</f>
        <v>2032.5599999999977</v>
      </c>
      <c r="R14" s="393">
        <f t="shared" ref="R14" si="10">IF(Q14&gt;=0,Q14,NA())</f>
        <v>2032.5599999999977</v>
      </c>
      <c r="S14" s="393" t="e">
        <f t="shared" ref="S14" si="11">IF(Q14&lt;0,Q14,NA())</f>
        <v>#N/A</v>
      </c>
    </row>
    <row r="15" spans="4:33" ht="15" customHeight="1">
      <c r="D15" s="108">
        <v>44896</v>
      </c>
      <c r="E15" s="109">
        <v>109383.27</v>
      </c>
      <c r="F15" s="109">
        <v>40662.770000000004</v>
      </c>
      <c r="G15" s="109">
        <v>39073.460000000006</v>
      </c>
      <c r="H15" s="109">
        <v>39073.460000000006</v>
      </c>
      <c r="I15" s="110">
        <f t="shared" si="3"/>
        <v>-12362.769999999931</v>
      </c>
      <c r="J15" s="110"/>
      <c r="L15" s="108">
        <f t="shared" si="0"/>
        <v>44896</v>
      </c>
      <c r="M15" s="109">
        <f t="shared" si="4"/>
        <v>39073.460000000006</v>
      </c>
      <c r="N15" s="109" t="e">
        <f t="shared" si="5"/>
        <v>#N/A</v>
      </c>
      <c r="P15" s="397"/>
      <c r="Q15" s="391"/>
      <c r="R15" s="394"/>
      <c r="S15" s="394"/>
    </row>
    <row r="16" spans="4:33" ht="15" customHeight="1">
      <c r="D16" s="107">
        <v>44927</v>
      </c>
      <c r="E16" s="5">
        <v>101362.42</v>
      </c>
      <c r="F16" s="5">
        <v>-49915.950000000004</v>
      </c>
      <c r="G16" s="5">
        <v>-47179.79</v>
      </c>
      <c r="H16" s="5">
        <v>-50335.23</v>
      </c>
      <c r="I16" s="3">
        <f t="shared" si="3"/>
        <v>-62697.999999999935</v>
      </c>
      <c r="J16" s="3"/>
      <c r="L16" s="107">
        <f t="shared" si="0"/>
        <v>44927</v>
      </c>
      <c r="M16" s="5" t="e">
        <f t="shared" si="4"/>
        <v>#N/A</v>
      </c>
      <c r="N16" s="5">
        <f t="shared" si="5"/>
        <v>-50335.23</v>
      </c>
      <c r="P16" s="398"/>
      <c r="Q16" s="392"/>
      <c r="R16" s="395"/>
      <c r="S16" s="395"/>
    </row>
    <row r="17" spans="4:19" ht="15" customHeight="1">
      <c r="D17" s="107">
        <v>44958</v>
      </c>
      <c r="E17" s="5">
        <v>120155.32</v>
      </c>
      <c r="F17" s="5">
        <v>5492.5899999999911</v>
      </c>
      <c r="G17" s="5">
        <v>11851.729999999992</v>
      </c>
      <c r="H17" s="5">
        <v>11851.729999999992</v>
      </c>
      <c r="I17" s="3">
        <f t="shared" si="3"/>
        <v>-50846.269999999946</v>
      </c>
      <c r="J17" s="3"/>
      <c r="L17" s="107">
        <f t="shared" si="0"/>
        <v>44958</v>
      </c>
      <c r="M17" s="5">
        <f t="shared" si="4"/>
        <v>11851.729999999992</v>
      </c>
      <c r="N17" s="5" t="e">
        <f t="shared" si="5"/>
        <v>#N/A</v>
      </c>
      <c r="P17" s="325" t="s">
        <v>607</v>
      </c>
      <c r="Q17" s="390">
        <f t="shared" ref="Q17" si="12">SUM(H16:H18)</f>
        <v>-13021.260000000017</v>
      </c>
      <c r="R17" s="393" t="e">
        <f t="shared" ref="R17" si="13">IF(Q17&gt;=0,Q17,NA())</f>
        <v>#N/A</v>
      </c>
      <c r="S17" s="393">
        <f t="shared" ref="S17" si="14">IF(Q17&lt;0,Q17,NA())</f>
        <v>-13021.260000000017</v>
      </c>
    </row>
    <row r="18" spans="4:19" ht="15" customHeight="1">
      <c r="D18" s="108">
        <v>44986</v>
      </c>
      <c r="E18" s="109">
        <v>131601.09</v>
      </c>
      <c r="F18" s="109">
        <v>22789.07</v>
      </c>
      <c r="G18" s="109">
        <v>32241.79</v>
      </c>
      <c r="H18" s="109">
        <v>25462.239999999998</v>
      </c>
      <c r="I18" s="110">
        <f t="shared" si="3"/>
        <v>-25384.029999999948</v>
      </c>
      <c r="J18" s="110"/>
      <c r="L18" s="108">
        <f t="shared" si="0"/>
        <v>44986</v>
      </c>
      <c r="M18" s="109">
        <f t="shared" si="4"/>
        <v>25462.239999999998</v>
      </c>
      <c r="N18" s="109" t="e">
        <f t="shared" si="5"/>
        <v>#N/A</v>
      </c>
      <c r="P18" s="325"/>
      <c r="Q18" s="391"/>
      <c r="R18" s="394"/>
      <c r="S18" s="394"/>
    </row>
    <row r="19" spans="4:19" ht="15" customHeight="1">
      <c r="D19" s="107">
        <v>45017</v>
      </c>
      <c r="E19" s="5">
        <v>153310.85</v>
      </c>
      <c r="F19" s="5">
        <v>13660.070000000027</v>
      </c>
      <c r="G19" s="5">
        <v>28485.490000000027</v>
      </c>
      <c r="H19" s="5">
        <v>28485.490000000027</v>
      </c>
      <c r="I19" s="3">
        <f t="shared" si="3"/>
        <v>3101.4600000000792</v>
      </c>
      <c r="J19" s="3"/>
      <c r="L19" s="107">
        <f t="shared" si="0"/>
        <v>45017</v>
      </c>
      <c r="M19" s="5">
        <f t="shared" si="4"/>
        <v>28485.490000000027</v>
      </c>
      <c r="N19" s="5" t="e">
        <f t="shared" si="5"/>
        <v>#N/A</v>
      </c>
      <c r="P19" s="326"/>
      <c r="Q19" s="392"/>
      <c r="R19" s="395"/>
      <c r="S19" s="395"/>
    </row>
    <row r="20" spans="4:19" ht="15" customHeight="1">
      <c r="D20" s="107">
        <v>45047</v>
      </c>
      <c r="E20" s="5">
        <v>150438.86000000002</v>
      </c>
      <c r="F20" s="5">
        <v>-1917.5099999999957</v>
      </c>
      <c r="G20" s="5">
        <v>14234.720000000005</v>
      </c>
      <c r="H20" s="5">
        <v>9723.8200000000033</v>
      </c>
      <c r="I20" s="3">
        <f t="shared" si="3"/>
        <v>12825.280000000083</v>
      </c>
      <c r="J20" s="3"/>
      <c r="L20" s="107">
        <f t="shared" si="0"/>
        <v>45047</v>
      </c>
      <c r="M20" s="5">
        <f t="shared" si="4"/>
        <v>9723.8200000000033</v>
      </c>
      <c r="N20" s="5" t="e">
        <f t="shared" si="5"/>
        <v>#N/A</v>
      </c>
      <c r="P20" s="325" t="s">
        <v>608</v>
      </c>
      <c r="Q20" s="390">
        <f t="shared" ref="Q20" si="15">SUM(H19:H21)</f>
        <v>1864.0900000000547</v>
      </c>
      <c r="R20" s="393">
        <f t="shared" ref="R20" si="16">IF(Q20&gt;=0,Q20,NA())</f>
        <v>1864.0900000000547</v>
      </c>
      <c r="S20" s="393" t="e">
        <f t="shared" ref="S20" si="17">IF(Q20&lt;0,Q20,NA())</f>
        <v>#N/A</v>
      </c>
    </row>
    <row r="21" spans="4:19" ht="15" customHeight="1">
      <c r="D21" s="108">
        <v>45078</v>
      </c>
      <c r="E21" s="109">
        <v>123015.81</v>
      </c>
      <c r="F21" s="109">
        <v>-4824.0999999999685</v>
      </c>
      <c r="G21" s="109">
        <v>10810.300000000028</v>
      </c>
      <c r="H21" s="109">
        <v>-36345.219999999972</v>
      </c>
      <c r="I21" s="110">
        <f t="shared" si="3"/>
        <v>-23519.93999999989</v>
      </c>
      <c r="J21" s="110"/>
      <c r="L21" s="108">
        <f t="shared" si="0"/>
        <v>45078</v>
      </c>
      <c r="M21" s="109" t="e">
        <f t="shared" si="4"/>
        <v>#N/A</v>
      </c>
      <c r="N21" s="109">
        <f t="shared" si="5"/>
        <v>-36345.219999999972</v>
      </c>
      <c r="P21" s="325"/>
      <c r="Q21" s="391"/>
      <c r="R21" s="394"/>
      <c r="S21" s="394"/>
    </row>
    <row r="22" spans="4:19" ht="15" customHeight="1">
      <c r="D22" s="107">
        <v>45108</v>
      </c>
      <c r="E22" s="5">
        <v>154929.32999999999</v>
      </c>
      <c r="F22" s="5">
        <v>-4845.6199999999781</v>
      </c>
      <c r="G22" s="5">
        <v>4154.5900000000229</v>
      </c>
      <c r="H22" s="5">
        <v>-6132.7899999999781</v>
      </c>
      <c r="I22" s="3">
        <f t="shared" si="3"/>
        <v>-29652.729999999869</v>
      </c>
      <c r="J22" s="3"/>
      <c r="L22" s="107">
        <f t="shared" si="0"/>
        <v>45108</v>
      </c>
      <c r="M22" s="5" t="e">
        <f t="shared" si="4"/>
        <v>#N/A</v>
      </c>
      <c r="N22" s="5">
        <f t="shared" si="5"/>
        <v>-6132.7899999999781</v>
      </c>
      <c r="P22" s="326"/>
      <c r="Q22" s="392"/>
      <c r="R22" s="395"/>
      <c r="S22" s="395"/>
    </row>
    <row r="23" spans="4:19" ht="15" customHeight="1">
      <c r="D23" s="107">
        <v>45139</v>
      </c>
      <c r="E23" s="5">
        <v>160989.16999999998</v>
      </c>
      <c r="F23" s="5">
        <v>20397.210000000021</v>
      </c>
      <c r="G23" s="5">
        <v>30129.030000000021</v>
      </c>
      <c r="H23" s="5">
        <v>19875.090000000026</v>
      </c>
      <c r="I23" s="3">
        <f t="shared" si="3"/>
        <v>-9777.639999999843</v>
      </c>
      <c r="J23" s="3"/>
      <c r="L23" s="107">
        <f t="shared" si="0"/>
        <v>45139</v>
      </c>
      <c r="M23" s="5">
        <f t="shared" si="4"/>
        <v>19875.090000000026</v>
      </c>
      <c r="N23" s="5" t="e">
        <f t="shared" si="5"/>
        <v>#N/A</v>
      </c>
      <c r="P23" s="325" t="s">
        <v>609</v>
      </c>
      <c r="Q23" s="390">
        <f t="shared" ref="Q23" si="18">SUM(H22:H24)</f>
        <v>10423.430000000033</v>
      </c>
      <c r="R23" s="393">
        <f t="shared" ref="R23" si="19">IF(Q23&gt;=0,Q23,NA())</f>
        <v>10423.430000000033</v>
      </c>
      <c r="S23" s="393" t="e">
        <f t="shared" ref="S23" si="20">IF(Q23&lt;0,Q23,NA())</f>
        <v>#N/A</v>
      </c>
    </row>
    <row r="24" spans="4:19" ht="15" customHeight="1">
      <c r="D24" s="108">
        <v>45170</v>
      </c>
      <c r="E24" s="109">
        <v>152116.4</v>
      </c>
      <c r="F24" s="109">
        <v>-505.90000000001328</v>
      </c>
      <c r="G24" s="109">
        <v>7393.5999999999867</v>
      </c>
      <c r="H24" s="109">
        <v>-3318.8700000000126</v>
      </c>
      <c r="I24" s="110">
        <f t="shared" si="3"/>
        <v>-13096.509999999857</v>
      </c>
      <c r="J24" s="110"/>
      <c r="L24" s="108">
        <f t="shared" si="0"/>
        <v>45170</v>
      </c>
      <c r="M24" s="109" t="e">
        <f t="shared" si="4"/>
        <v>#N/A</v>
      </c>
      <c r="N24" s="109">
        <f t="shared" si="5"/>
        <v>-3318.8700000000126</v>
      </c>
      <c r="P24" s="325"/>
      <c r="Q24" s="391"/>
      <c r="R24" s="394"/>
      <c r="S24" s="394"/>
    </row>
    <row r="25" spans="4:19" ht="15" customHeight="1">
      <c r="D25" s="107">
        <v>45200</v>
      </c>
      <c r="E25" s="5">
        <v>135483.48000000001</v>
      </c>
      <c r="F25" s="5">
        <v>-48111.760000000017</v>
      </c>
      <c r="G25" s="5">
        <v>-34894.880000000019</v>
      </c>
      <c r="H25" s="5">
        <v>-44373.710000000021</v>
      </c>
      <c r="I25" s="3">
        <f t="shared" si="3"/>
        <v>-57470.219999999877</v>
      </c>
      <c r="J25" s="3"/>
      <c r="L25" s="107">
        <f t="shared" si="0"/>
        <v>45200</v>
      </c>
      <c r="M25" s="5" t="e">
        <f t="shared" si="4"/>
        <v>#N/A</v>
      </c>
      <c r="N25" s="5">
        <f t="shared" si="5"/>
        <v>-44373.710000000021</v>
      </c>
      <c r="P25" s="326"/>
      <c r="Q25" s="392"/>
      <c r="R25" s="395"/>
      <c r="S25" s="395"/>
    </row>
    <row r="26" spans="4:19" ht="15" customHeight="1">
      <c r="D26" s="107">
        <v>45231</v>
      </c>
      <c r="E26" s="5">
        <v>139047.26</v>
      </c>
      <c r="F26" s="5">
        <v>12770.420000000029</v>
      </c>
      <c r="G26" s="5">
        <v>19406.360000000026</v>
      </c>
      <c r="H26" s="5">
        <v>9792.0300000000279</v>
      </c>
      <c r="I26" s="3">
        <f t="shared" si="3"/>
        <v>-47678.18999999985</v>
      </c>
      <c r="J26" s="3"/>
      <c r="L26" s="107">
        <f t="shared" si="0"/>
        <v>45231</v>
      </c>
      <c r="M26" s="5">
        <f t="shared" si="4"/>
        <v>9792.0300000000279</v>
      </c>
      <c r="N26" s="5" t="e">
        <f t="shared" si="5"/>
        <v>#N/A</v>
      </c>
      <c r="P26" s="325" t="s">
        <v>610</v>
      </c>
      <c r="Q26" s="390">
        <f t="shared" ref="Q26" si="21">SUM(H25:H27)</f>
        <v>-31621.239999999965</v>
      </c>
      <c r="R26" s="393" t="e">
        <f t="shared" ref="R26" si="22">IF(Q26&gt;=0,Q26,NA())</f>
        <v>#N/A</v>
      </c>
      <c r="S26" s="393">
        <f t="shared" ref="S26" si="23">IF(Q26&lt;0,Q26,NA())</f>
        <v>-31621.239999999965</v>
      </c>
    </row>
    <row r="27" spans="4:19" ht="15" customHeight="1">
      <c r="D27" s="108">
        <v>45261</v>
      </c>
      <c r="E27" s="109">
        <v>140276.35999999999</v>
      </c>
      <c r="F27" s="109">
        <v>5751.3900000000267</v>
      </c>
      <c r="G27" s="109">
        <v>12271.950000000028</v>
      </c>
      <c r="H27" s="109">
        <v>2960.4400000000278</v>
      </c>
      <c r="I27" s="110">
        <f t="shared" si="3"/>
        <v>-44717.749999999825</v>
      </c>
      <c r="J27" s="110"/>
      <c r="L27" s="108">
        <f t="shared" si="0"/>
        <v>45261</v>
      </c>
      <c r="M27" s="109">
        <f t="shared" si="4"/>
        <v>2960.4400000000278</v>
      </c>
      <c r="N27" s="109" t="e">
        <f t="shared" si="5"/>
        <v>#N/A</v>
      </c>
      <c r="P27" s="325"/>
      <c r="Q27" s="391"/>
      <c r="R27" s="394"/>
      <c r="S27" s="394"/>
    </row>
    <row r="28" spans="4:19" ht="15" customHeight="1">
      <c r="D28" s="107">
        <v>45292</v>
      </c>
      <c r="E28" s="5">
        <v>128282.56000000001</v>
      </c>
      <c r="F28" s="5">
        <v>-42077.619999999981</v>
      </c>
      <c r="G28" s="5">
        <v>-35345.50999999998</v>
      </c>
      <c r="H28" s="5">
        <v>-44170.299999999988</v>
      </c>
      <c r="I28" s="3">
        <f t="shared" si="3"/>
        <v>-88888.049999999814</v>
      </c>
      <c r="J28" s="3"/>
      <c r="L28" s="107">
        <f t="shared" si="0"/>
        <v>45292</v>
      </c>
      <c r="M28" s="5" t="e">
        <f t="shared" si="4"/>
        <v>#N/A</v>
      </c>
      <c r="N28" s="5">
        <f t="shared" si="5"/>
        <v>-44170.299999999988</v>
      </c>
      <c r="P28" s="326"/>
      <c r="Q28" s="392"/>
      <c r="R28" s="395"/>
      <c r="S28" s="395"/>
    </row>
    <row r="29" spans="4:19" ht="15" customHeight="1">
      <c r="D29" s="107">
        <v>45323</v>
      </c>
      <c r="E29" s="5">
        <v>140864.21999999997</v>
      </c>
      <c r="F29" s="5">
        <v>11259.709999999966</v>
      </c>
      <c r="G29" s="5">
        <v>21028.929999999968</v>
      </c>
      <c r="H29" s="5">
        <v>11728.759999999966</v>
      </c>
      <c r="I29" s="3">
        <f t="shared" si="3"/>
        <v>-77159.289999999848</v>
      </c>
      <c r="J29" s="3"/>
      <c r="L29" s="107">
        <f t="shared" si="0"/>
        <v>45323</v>
      </c>
      <c r="M29" s="5">
        <f t="shared" si="4"/>
        <v>11728.759999999966</v>
      </c>
      <c r="N29" s="5" t="e">
        <f t="shared" si="5"/>
        <v>#N/A</v>
      </c>
      <c r="P29" s="325" t="s">
        <v>611</v>
      </c>
      <c r="Q29" s="390">
        <f t="shared" ref="Q29" si="24">SUM(H28:H30)</f>
        <v>-2864.9200000000164</v>
      </c>
      <c r="R29" s="393" t="e">
        <f t="shared" ref="R29" si="25">IF(Q29&gt;=0,Q29,NA())</f>
        <v>#N/A</v>
      </c>
      <c r="S29" s="393">
        <f t="shared" ref="S29" si="26">IF(Q29&lt;0,Q29,NA())</f>
        <v>-2864.9200000000164</v>
      </c>
    </row>
    <row r="30" spans="4:19" ht="15" customHeight="1">
      <c r="D30" s="108">
        <v>45352</v>
      </c>
      <c r="E30" s="109">
        <v>153430.67000000001</v>
      </c>
      <c r="F30" s="109">
        <v>32173.620000000006</v>
      </c>
      <c r="G30" s="109">
        <v>37674.100000000006</v>
      </c>
      <c r="H30" s="109">
        <v>29576.620000000006</v>
      </c>
      <c r="I30" s="110">
        <f t="shared" si="3"/>
        <v>-47582.669999999838</v>
      </c>
      <c r="J30" s="110"/>
      <c r="L30" s="108">
        <f t="shared" si="0"/>
        <v>45352</v>
      </c>
      <c r="M30" s="109">
        <f t="shared" si="4"/>
        <v>29576.620000000006</v>
      </c>
      <c r="N30" s="109" t="e">
        <f t="shared" si="5"/>
        <v>#N/A</v>
      </c>
      <c r="P30" s="325"/>
      <c r="Q30" s="391"/>
      <c r="R30" s="394"/>
      <c r="S30" s="394"/>
    </row>
    <row r="31" spans="4:19" ht="15" customHeight="1">
      <c r="D31" s="107">
        <v>45383</v>
      </c>
      <c r="E31" s="5">
        <v>121181.31999999999</v>
      </c>
      <c r="F31" s="5">
        <v>-49515.540000000015</v>
      </c>
      <c r="G31" s="5">
        <v>-43839.760000000009</v>
      </c>
      <c r="H31" s="5">
        <v>-43839.760000000009</v>
      </c>
      <c r="I31" s="3">
        <f t="shared" si="3"/>
        <v>-91422.429999999847</v>
      </c>
      <c r="J31" s="3"/>
      <c r="L31" s="107">
        <f t="shared" si="0"/>
        <v>45383</v>
      </c>
      <c r="M31" s="5" t="e">
        <f t="shared" si="4"/>
        <v>#N/A</v>
      </c>
      <c r="N31" s="5">
        <f t="shared" si="5"/>
        <v>-43839.760000000009</v>
      </c>
      <c r="P31" s="326"/>
      <c r="Q31" s="392"/>
      <c r="R31" s="395"/>
      <c r="S31" s="395"/>
    </row>
    <row r="32" spans="4:19" ht="15" customHeight="1">
      <c r="D32" s="107">
        <v>45413</v>
      </c>
      <c r="E32" s="5">
        <v>128301.22</v>
      </c>
      <c r="F32" s="5">
        <v>-51121.790000000008</v>
      </c>
      <c r="G32" s="5">
        <v>-46067.200000000004</v>
      </c>
      <c r="H32" s="5">
        <v>-46067.200000000004</v>
      </c>
      <c r="I32" s="3">
        <f t="shared" si="3"/>
        <v>-137489.62999999986</v>
      </c>
      <c r="J32" s="3"/>
      <c r="L32" s="107">
        <f t="shared" si="0"/>
        <v>45413</v>
      </c>
      <c r="M32" s="5" t="e">
        <f t="shared" si="4"/>
        <v>#N/A</v>
      </c>
      <c r="N32" s="5">
        <f t="shared" si="5"/>
        <v>-46067.200000000004</v>
      </c>
      <c r="P32" s="325" t="s">
        <v>612</v>
      </c>
      <c r="Q32" s="390">
        <f t="shared" ref="Q32" si="27">SUM(H31:H33)</f>
        <v>16410.719999999972</v>
      </c>
      <c r="R32" s="393">
        <f t="shared" ref="R32" si="28">IF(Q32&gt;=0,Q32,NA())</f>
        <v>16410.719999999972</v>
      </c>
      <c r="S32" s="393" t="e">
        <f t="shared" ref="S32" si="29">IF(Q32&lt;0,Q32,NA())</f>
        <v>#N/A</v>
      </c>
    </row>
    <row r="33" spans="3:19" ht="15" customHeight="1">
      <c r="D33" s="108">
        <v>45444</v>
      </c>
      <c r="E33" s="109">
        <v>212284.81</v>
      </c>
      <c r="F33" s="109">
        <v>118543.84</v>
      </c>
      <c r="G33" s="109">
        <v>123390.63</v>
      </c>
      <c r="H33" s="109">
        <v>106317.68</v>
      </c>
      <c r="I33" s="110">
        <f t="shared" si="3"/>
        <v>-31171.949999999866</v>
      </c>
      <c r="J33" s="110"/>
      <c r="L33" s="108">
        <f t="shared" si="0"/>
        <v>45444</v>
      </c>
      <c r="M33" s="109">
        <f t="shared" si="4"/>
        <v>106317.68</v>
      </c>
      <c r="N33" s="109" t="e">
        <f t="shared" si="5"/>
        <v>#N/A</v>
      </c>
      <c r="P33" s="325"/>
      <c r="Q33" s="391"/>
      <c r="R33" s="394"/>
      <c r="S33" s="394"/>
    </row>
    <row r="34" spans="3:19" ht="15" customHeight="1">
      <c r="D34" s="107">
        <v>45474</v>
      </c>
      <c r="E34" s="5">
        <v>208372.91</v>
      </c>
      <c r="F34" s="5">
        <v>22984.710000000014</v>
      </c>
      <c r="G34" s="5">
        <v>28730.830000000013</v>
      </c>
      <c r="H34" s="5">
        <v>12336.190000000013</v>
      </c>
      <c r="I34" s="3">
        <f t="shared" si="3"/>
        <v>-18835.759999999853</v>
      </c>
      <c r="J34" s="3"/>
      <c r="L34" s="107">
        <f t="shared" si="0"/>
        <v>45474</v>
      </c>
      <c r="M34" s="5">
        <f t="shared" si="4"/>
        <v>12336.190000000013</v>
      </c>
      <c r="N34" s="5" t="e">
        <f t="shared" si="5"/>
        <v>#N/A</v>
      </c>
      <c r="P34" s="326"/>
      <c r="Q34" s="392"/>
      <c r="R34" s="395"/>
      <c r="S34" s="395"/>
    </row>
    <row r="35" spans="3:19" ht="15" customHeight="1">
      <c r="D35" s="107">
        <v>45505</v>
      </c>
      <c r="E35" s="5">
        <v>163398.57</v>
      </c>
      <c r="F35" s="5">
        <v>4090.6000000000131</v>
      </c>
      <c r="G35" s="5">
        <v>9492.8200000000143</v>
      </c>
      <c r="H35" s="5">
        <v>578.50000000001637</v>
      </c>
      <c r="I35" s="3">
        <f t="shared" si="3"/>
        <v>-18257.259999999835</v>
      </c>
      <c r="J35" s="3"/>
      <c r="L35" s="107">
        <f t="shared" si="0"/>
        <v>45505</v>
      </c>
      <c r="M35" s="5">
        <f t="shared" si="4"/>
        <v>578.50000000001637</v>
      </c>
      <c r="N35" s="5" t="e">
        <f t="shared" si="5"/>
        <v>#N/A</v>
      </c>
      <c r="P35" s="325" t="s">
        <v>613</v>
      </c>
      <c r="Q35" s="390">
        <f t="shared" ref="Q35" si="30">SUM(H34:H36)</f>
        <v>48719.930000000044</v>
      </c>
      <c r="R35" s="393">
        <f t="shared" ref="R35" si="31">IF(Q35&gt;=0,Q35,NA())</f>
        <v>48719.930000000044</v>
      </c>
      <c r="S35" s="393" t="e">
        <f t="shared" ref="S35" si="32">IF(Q35&lt;0,Q35,NA())</f>
        <v>#N/A</v>
      </c>
    </row>
    <row r="36" spans="3:19" ht="15" customHeight="1">
      <c r="D36" s="108">
        <v>45536</v>
      </c>
      <c r="E36" s="109">
        <v>185409.45</v>
      </c>
      <c r="F36" s="109">
        <v>41326.100000000013</v>
      </c>
      <c r="G36" s="109">
        <v>46577.430000000015</v>
      </c>
      <c r="H36" s="109">
        <v>35805.240000000013</v>
      </c>
      <c r="I36" s="110">
        <f t="shared" si="3"/>
        <v>17547.980000000178</v>
      </c>
      <c r="J36" s="110"/>
      <c r="L36" s="108">
        <f t="shared" si="0"/>
        <v>45536</v>
      </c>
      <c r="M36" s="109">
        <f t="shared" si="4"/>
        <v>35805.240000000013</v>
      </c>
      <c r="N36" s="109" t="e">
        <f t="shared" si="5"/>
        <v>#N/A</v>
      </c>
      <c r="P36" s="325"/>
      <c r="Q36" s="391"/>
      <c r="R36" s="394"/>
      <c r="S36" s="394"/>
    </row>
    <row r="37" spans="3:19" ht="15" customHeight="1">
      <c r="D37" s="107">
        <v>45566</v>
      </c>
      <c r="E37" s="5">
        <v>151135.89000000001</v>
      </c>
      <c r="F37" s="5">
        <v>-31894.019999999975</v>
      </c>
      <c r="G37" s="5">
        <v>-26814.169999999976</v>
      </c>
      <c r="H37" s="5">
        <v>-34959.109999999971</v>
      </c>
      <c r="I37" s="3">
        <f t="shared" si="3"/>
        <v>-17411.129999999794</v>
      </c>
      <c r="J37" s="3"/>
      <c r="L37" s="107">
        <f t="shared" si="0"/>
        <v>45566</v>
      </c>
      <c r="M37" s="5" t="e">
        <f t="shared" si="4"/>
        <v>#N/A</v>
      </c>
      <c r="N37" s="5">
        <f t="shared" si="5"/>
        <v>-34959.109999999971</v>
      </c>
      <c r="P37" s="326"/>
      <c r="Q37" s="392"/>
      <c r="R37" s="395"/>
      <c r="S37" s="395"/>
    </row>
    <row r="38" spans="3:19" ht="15" customHeight="1">
      <c r="D38" s="107">
        <v>45597</v>
      </c>
      <c r="E38" s="5">
        <v>194161.37999999998</v>
      </c>
      <c r="F38" s="5">
        <v>43727.25999999998</v>
      </c>
      <c r="G38" s="5">
        <v>48291.309999999983</v>
      </c>
      <c r="H38" s="5">
        <v>38762.209999999985</v>
      </c>
      <c r="I38" s="3">
        <f t="shared" si="3"/>
        <v>21351.080000000191</v>
      </c>
      <c r="J38" s="3"/>
      <c r="L38" s="107">
        <f t="shared" si="0"/>
        <v>45597</v>
      </c>
      <c r="M38" s="5">
        <f t="shared" si="4"/>
        <v>38762.209999999985</v>
      </c>
      <c r="N38" s="5" t="e">
        <f t="shared" si="5"/>
        <v>#N/A</v>
      </c>
      <c r="P38" s="325" t="s">
        <v>614</v>
      </c>
      <c r="Q38" s="390">
        <f t="shared" ref="Q38" si="33">SUM(H37:H39)</f>
        <v>57951.049999999974</v>
      </c>
      <c r="R38" s="393">
        <f t="shared" ref="R38" si="34">IF(Q38&gt;=0,Q38,NA())</f>
        <v>57951.049999999974</v>
      </c>
      <c r="S38" s="393" t="e">
        <f t="shared" ref="S38" si="35">IF(Q38&lt;0,Q38,NA())</f>
        <v>#N/A</v>
      </c>
    </row>
    <row r="39" spans="3:19" ht="15" customHeight="1">
      <c r="D39" s="108">
        <v>45627</v>
      </c>
      <c r="E39" s="109">
        <v>189113.44999999995</v>
      </c>
      <c r="F39" s="109">
        <v>57090.699999999953</v>
      </c>
      <c r="G39" s="109">
        <v>61946.47999999996</v>
      </c>
      <c r="H39" s="109">
        <v>54147.949999999961</v>
      </c>
      <c r="I39" s="110">
        <f t="shared" si="3"/>
        <v>75499.030000000144</v>
      </c>
      <c r="J39" s="110"/>
      <c r="L39" s="108">
        <f t="shared" si="0"/>
        <v>45627</v>
      </c>
      <c r="M39" s="109">
        <f t="shared" si="4"/>
        <v>54147.949999999961</v>
      </c>
      <c r="N39" s="109" t="e">
        <f t="shared" si="5"/>
        <v>#N/A</v>
      </c>
      <c r="P39" s="325"/>
      <c r="Q39" s="391"/>
      <c r="R39" s="394"/>
      <c r="S39" s="394"/>
    </row>
    <row r="40" spans="3:19" ht="15" customHeight="1">
      <c r="D40" s="107">
        <v>45658</v>
      </c>
      <c r="E40" s="5">
        <v>161027.96000000002</v>
      </c>
      <c r="F40" s="5">
        <v>-39999.73000000001</v>
      </c>
      <c r="G40" s="5">
        <v>-33686.390000000014</v>
      </c>
      <c r="H40" s="5">
        <v>-45310.300000000017</v>
      </c>
      <c r="I40" s="3">
        <f t="shared" si="3"/>
        <v>30188.730000000127</v>
      </c>
      <c r="J40" s="3">
        <v>869353.15</v>
      </c>
      <c r="L40" s="107">
        <f t="shared" si="0"/>
        <v>45658</v>
      </c>
      <c r="M40" s="5" t="e">
        <f t="shared" si="4"/>
        <v>#N/A</v>
      </c>
      <c r="N40" s="5">
        <f t="shared" si="5"/>
        <v>-45310.300000000017</v>
      </c>
      <c r="P40" s="326"/>
      <c r="Q40" s="392"/>
      <c r="R40" s="395"/>
      <c r="S40" s="395"/>
    </row>
    <row r="41" spans="3:19" ht="15" customHeight="1">
      <c r="D41" s="107">
        <v>45689</v>
      </c>
      <c r="E41" s="5">
        <v>163795.66999999998</v>
      </c>
      <c r="F41" s="5">
        <v>25835.429999999982</v>
      </c>
      <c r="G41" s="5">
        <v>31790.249999999982</v>
      </c>
      <c r="H41" s="5">
        <v>22560.75999999998</v>
      </c>
      <c r="I41" s="3">
        <f t="shared" ref="I41:I63" si="36">H41+I40</f>
        <v>52749.490000000107</v>
      </c>
      <c r="J41" s="3">
        <v>872518.89999999991</v>
      </c>
      <c r="L41" s="107">
        <f t="shared" si="0"/>
        <v>45689</v>
      </c>
      <c r="M41" s="5">
        <f t="shared" si="4"/>
        <v>22560.75999999998</v>
      </c>
      <c r="N41" s="5" t="e">
        <f t="shared" si="5"/>
        <v>#N/A</v>
      </c>
      <c r="P41" s="325" t="s">
        <v>615</v>
      </c>
      <c r="Q41" s="390">
        <f t="shared" ref="Q41" si="37">SUM(H40:H42)</f>
        <v>-4982.5900000000365</v>
      </c>
      <c r="R41" s="393" t="e">
        <f t="shared" ref="R41" si="38">IF(Q41&gt;=0,Q41,NA())</f>
        <v>#N/A</v>
      </c>
      <c r="S41" s="393">
        <f t="shared" ref="S41" si="39">IF(Q41&lt;0,Q41,NA())</f>
        <v>-4982.5900000000365</v>
      </c>
    </row>
    <row r="42" spans="3:19" ht="15" customHeight="1">
      <c r="D42" s="108">
        <v>45717</v>
      </c>
      <c r="E42" s="109">
        <v>176258.62</v>
      </c>
      <c r="F42" s="109">
        <v>24683.339999999997</v>
      </c>
      <c r="G42" s="109">
        <v>26800.81</v>
      </c>
      <c r="H42" s="109">
        <v>17766.95</v>
      </c>
      <c r="I42" s="110">
        <f t="shared" si="36"/>
        <v>70516.440000000104</v>
      </c>
      <c r="J42" s="110">
        <v>309261.36</v>
      </c>
      <c r="L42" s="108">
        <f t="shared" si="0"/>
        <v>45717</v>
      </c>
      <c r="M42" s="109">
        <f t="shared" si="4"/>
        <v>17766.95</v>
      </c>
      <c r="N42" s="109" t="e">
        <f t="shared" si="5"/>
        <v>#N/A</v>
      </c>
      <c r="P42" s="325"/>
      <c r="Q42" s="391"/>
      <c r="R42" s="394"/>
      <c r="S42" s="394"/>
    </row>
    <row r="43" spans="3:19" ht="15" customHeight="1">
      <c r="D43" s="107">
        <v>45748</v>
      </c>
      <c r="E43" s="5">
        <v>193137.78999999992</v>
      </c>
      <c r="F43" s="5">
        <v>-16191.570000000047</v>
      </c>
      <c r="G43" s="5">
        <v>-16496.450000000048</v>
      </c>
      <c r="H43" s="5">
        <v>-27414.700000000044</v>
      </c>
      <c r="I43" s="3">
        <f t="shared" si="36"/>
        <v>43101.740000000063</v>
      </c>
      <c r="J43" s="3">
        <v>249098.43</v>
      </c>
      <c r="L43" s="107">
        <f t="shared" si="0"/>
        <v>45748</v>
      </c>
      <c r="M43" s="5" t="e">
        <f t="shared" si="4"/>
        <v>#N/A</v>
      </c>
      <c r="N43" s="5">
        <f t="shared" si="5"/>
        <v>-27414.700000000044</v>
      </c>
      <c r="P43" s="326"/>
      <c r="Q43" s="392"/>
      <c r="R43" s="395"/>
      <c r="S43" s="395"/>
    </row>
    <row r="44" spans="3:19" ht="15" customHeight="1">
      <c r="D44" s="107">
        <v>45778</v>
      </c>
      <c r="E44" s="5">
        <v>219760.12</v>
      </c>
      <c r="F44" s="5">
        <v>57117.110000000008</v>
      </c>
      <c r="G44" s="5">
        <v>57975.770000000004</v>
      </c>
      <c r="H44" s="5">
        <v>47418.350000000006</v>
      </c>
      <c r="I44" s="3">
        <f t="shared" si="36"/>
        <v>90520.090000000069</v>
      </c>
      <c r="J44" s="3">
        <v>289377.28000000003</v>
      </c>
      <c r="L44" s="107">
        <f t="shared" si="0"/>
        <v>45778</v>
      </c>
      <c r="M44" s="5">
        <f t="shared" si="4"/>
        <v>47418.350000000006</v>
      </c>
      <c r="N44" s="5" t="e">
        <f t="shared" si="5"/>
        <v>#N/A</v>
      </c>
      <c r="P44" s="325" t="s">
        <v>616</v>
      </c>
      <c r="Q44" s="390">
        <f t="shared" ref="Q44" si="40">SUM(H43:H45)</f>
        <v>42552.479999999967</v>
      </c>
      <c r="R44" s="393">
        <f t="shared" ref="R44" si="41">IF(Q44&gt;=0,Q44,NA())</f>
        <v>42552.479999999967</v>
      </c>
      <c r="S44" s="393" t="e">
        <f t="shared" ref="S44" si="42">IF(Q44&lt;0,Q44,NA())</f>
        <v>#N/A</v>
      </c>
    </row>
    <row r="45" spans="3:19" ht="15" customHeight="1">
      <c r="C45" s="111">
        <f>E45/E42-1</f>
        <v>0.15346216826161485</v>
      </c>
      <c r="D45" s="108">
        <v>45809</v>
      </c>
      <c r="E45" s="109">
        <v>203307.65000000002</v>
      </c>
      <c r="F45" s="109">
        <v>34845.070000000007</v>
      </c>
      <c r="G45" s="109">
        <v>33993.290000000008</v>
      </c>
      <c r="H45" s="109">
        <v>22548.830000000005</v>
      </c>
      <c r="I45" s="110">
        <f t="shared" si="36"/>
        <v>113068.92000000007</v>
      </c>
      <c r="J45" s="110">
        <v>285593.61</v>
      </c>
      <c r="L45" s="108">
        <f t="shared" si="0"/>
        <v>45809</v>
      </c>
      <c r="M45" s="109">
        <f t="shared" si="4"/>
        <v>22548.830000000005</v>
      </c>
      <c r="N45" s="109" t="e">
        <f t="shared" si="5"/>
        <v>#N/A</v>
      </c>
      <c r="P45" s="325"/>
      <c r="Q45" s="391"/>
      <c r="R45" s="394"/>
      <c r="S45" s="394"/>
    </row>
    <row r="46" spans="3:19" ht="15" customHeight="1">
      <c r="C46" s="111"/>
      <c r="D46" s="107">
        <v>45839</v>
      </c>
      <c r="E46" s="5">
        <v>208517.31000000006</v>
      </c>
      <c r="F46" s="5">
        <v>-21202.639999999945</v>
      </c>
      <c r="G46" s="5">
        <v>-21379.899999999943</v>
      </c>
      <c r="H46" s="5">
        <v>-32580.719999999943</v>
      </c>
      <c r="I46" s="3">
        <f t="shared" si="36"/>
        <v>80488.200000000128</v>
      </c>
      <c r="J46" s="3">
        <v>255744.58000000002</v>
      </c>
      <c r="L46" s="107">
        <f t="shared" si="0"/>
        <v>45839</v>
      </c>
      <c r="M46" s="5" t="e">
        <f t="shared" si="4"/>
        <v>#N/A</v>
      </c>
      <c r="N46" s="5">
        <f t="shared" si="5"/>
        <v>-32580.719999999943</v>
      </c>
      <c r="P46" s="326"/>
      <c r="Q46" s="392"/>
      <c r="R46" s="395"/>
      <c r="S46" s="395"/>
    </row>
    <row r="47" spans="3:19" ht="15" customHeight="1">
      <c r="D47" s="107">
        <v>45870</v>
      </c>
      <c r="E47" s="5">
        <v>252663.96000000002</v>
      </c>
      <c r="F47" s="5">
        <v>79047.510000000038</v>
      </c>
      <c r="G47" s="5">
        <v>78402.270000000048</v>
      </c>
      <c r="H47" s="5">
        <v>64152.090000000047</v>
      </c>
      <c r="I47" s="3">
        <f t="shared" si="36"/>
        <v>144640.29000000018</v>
      </c>
      <c r="J47" s="3">
        <v>315482.46000000002</v>
      </c>
      <c r="L47" s="107">
        <f t="shared" si="0"/>
        <v>45870</v>
      </c>
      <c r="M47" s="5">
        <f t="shared" si="4"/>
        <v>64152.090000000047</v>
      </c>
      <c r="N47" s="5" t="e">
        <f t="shared" si="5"/>
        <v>#N/A</v>
      </c>
      <c r="P47" s="325" t="s">
        <v>617</v>
      </c>
      <c r="Q47" s="390">
        <f t="shared" ref="Q47" si="43">SUM(H46:H48)</f>
        <v>84772.810000000172</v>
      </c>
      <c r="R47" s="393">
        <f t="shared" ref="R47" si="44">IF(Q47&gt;=0,Q47,NA())</f>
        <v>84772.810000000172</v>
      </c>
      <c r="S47" s="393" t="e">
        <f t="shared" ref="S47" si="45">IF(Q47&lt;0,Q47,NA())</f>
        <v>#N/A</v>
      </c>
    </row>
    <row r="48" spans="3:19" ht="15" customHeight="1">
      <c r="C48" s="111">
        <f>E48/E45-1</f>
        <v>0.26496361548618563</v>
      </c>
      <c r="D48" s="108">
        <v>45901</v>
      </c>
      <c r="E48" s="109">
        <v>257176.78000000003</v>
      </c>
      <c r="F48" s="109">
        <v>69155.960000000065</v>
      </c>
      <c r="G48" s="109">
        <v>68586.100000000064</v>
      </c>
      <c r="H48" s="109">
        <v>53201.440000000061</v>
      </c>
      <c r="I48" s="110">
        <f t="shared" si="36"/>
        <v>197841.73000000024</v>
      </c>
      <c r="J48" s="110">
        <v>336928.89</v>
      </c>
      <c r="L48" s="108">
        <f t="shared" si="0"/>
        <v>45901</v>
      </c>
      <c r="M48" s="109">
        <f t="shared" si="4"/>
        <v>53201.440000000061</v>
      </c>
      <c r="N48" s="109" t="e">
        <f t="shared" si="5"/>
        <v>#N/A</v>
      </c>
      <c r="P48" s="325"/>
      <c r="Q48" s="391"/>
      <c r="R48" s="394"/>
      <c r="S48" s="394"/>
    </row>
    <row r="49" spans="3:19" ht="15" customHeight="1">
      <c r="C49" s="111"/>
      <c r="D49" s="107">
        <v>45931</v>
      </c>
      <c r="E49" s="5">
        <v>318213.40000000002</v>
      </c>
      <c r="F49" s="5">
        <v>49650.470000000038</v>
      </c>
      <c r="G49" s="5">
        <v>49542.290000000037</v>
      </c>
      <c r="H49" s="5">
        <v>38217.750000000036</v>
      </c>
      <c r="I49" s="3">
        <f t="shared" si="36"/>
        <v>236059.48000000027</v>
      </c>
      <c r="J49" s="3">
        <v>382169.31</v>
      </c>
      <c r="L49" s="107">
        <f t="shared" si="0"/>
        <v>45931</v>
      </c>
      <c r="M49" s="5">
        <f t="shared" si="4"/>
        <v>38217.750000000036</v>
      </c>
      <c r="N49" s="5" t="e">
        <f t="shared" si="5"/>
        <v>#N/A</v>
      </c>
      <c r="P49" s="326"/>
      <c r="Q49" s="392"/>
      <c r="R49" s="395"/>
      <c r="S49" s="395"/>
    </row>
    <row r="50" spans="3:19" ht="15" customHeight="1">
      <c r="D50" s="107">
        <v>45962</v>
      </c>
      <c r="E50" s="5">
        <v>256763.49999999997</v>
      </c>
      <c r="F50" s="5">
        <v>55452.799999999996</v>
      </c>
      <c r="G50" s="5">
        <v>56066.38</v>
      </c>
      <c r="H50" s="5">
        <v>45208.13</v>
      </c>
      <c r="I50" s="3">
        <f t="shared" si="36"/>
        <v>281267.61000000028</v>
      </c>
      <c r="J50" s="3">
        <v>430109.01</v>
      </c>
      <c r="L50" s="107">
        <f t="shared" si="0"/>
        <v>45962</v>
      </c>
      <c r="M50" s="5">
        <f t="shared" si="4"/>
        <v>45208.13</v>
      </c>
      <c r="N50" s="5" t="e">
        <f t="shared" si="5"/>
        <v>#N/A</v>
      </c>
      <c r="P50" s="325" t="s">
        <v>618</v>
      </c>
      <c r="Q50" s="390">
        <f t="shared" ref="Q50" si="46">SUM(H49:H51)</f>
        <v>154229.81000000003</v>
      </c>
      <c r="R50" s="393">
        <f t="shared" ref="R50" si="47">IF(Q50&gt;=0,Q50,NA())</f>
        <v>154229.81000000003</v>
      </c>
      <c r="S50" s="393" t="e">
        <f t="shared" ref="S50" si="48">IF(Q50&lt;0,Q50,NA())</f>
        <v>#N/A</v>
      </c>
    </row>
    <row r="51" spans="3:19" ht="15" customHeight="1">
      <c r="C51" s="111">
        <f>E51/E48-1</f>
        <v>0.14165318501926949</v>
      </c>
      <c r="D51" s="108">
        <v>45992</v>
      </c>
      <c r="E51" s="109">
        <v>293606.69</v>
      </c>
      <c r="F51" s="109">
        <v>79692.299999999988</v>
      </c>
      <c r="G51" s="109">
        <v>79996.849999999991</v>
      </c>
      <c r="H51" s="109">
        <v>70803.929999999993</v>
      </c>
      <c r="I51" s="110">
        <f t="shared" si="36"/>
        <v>352071.54000000027</v>
      </c>
      <c r="J51" s="110">
        <v>503909.50999999995</v>
      </c>
      <c r="L51" s="108">
        <f t="shared" si="0"/>
        <v>45992</v>
      </c>
      <c r="M51" s="109">
        <f t="shared" si="4"/>
        <v>70803.929999999993</v>
      </c>
      <c r="N51" s="109" t="e">
        <f t="shared" si="5"/>
        <v>#N/A</v>
      </c>
      <c r="P51" s="325"/>
      <c r="Q51" s="391"/>
      <c r="R51" s="394"/>
      <c r="S51" s="394"/>
    </row>
    <row r="52" spans="3:19" ht="15" customHeight="1">
      <c r="C52" s="111"/>
      <c r="D52" s="107">
        <v>46023</v>
      </c>
      <c r="E52" s="5">
        <f>Consolidated!E7</f>
        <v>282443.93</v>
      </c>
      <c r="F52" s="5">
        <f>Consolidated!E46</f>
        <v>-4814.4800000000032</v>
      </c>
      <c r="G52" s="5">
        <f>Consolidated!E49</f>
        <v>-6068.7100000000009</v>
      </c>
      <c r="H52" s="5">
        <f>Consolidated!E53</f>
        <v>-16305.28</v>
      </c>
      <c r="I52" s="3">
        <f t="shared" si="36"/>
        <v>335766.26000000024</v>
      </c>
      <c r="J52" s="3">
        <f>Caixa!F6</f>
        <v>328679.42</v>
      </c>
      <c r="L52" s="107">
        <f t="shared" si="0"/>
        <v>46023</v>
      </c>
      <c r="M52" s="5" t="e">
        <f t="shared" si="4"/>
        <v>#N/A</v>
      </c>
      <c r="N52" s="5">
        <f t="shared" si="5"/>
        <v>-16305.28</v>
      </c>
      <c r="P52" s="326"/>
      <c r="Q52" s="392"/>
      <c r="R52" s="395"/>
      <c r="S52" s="395"/>
    </row>
    <row r="53" spans="3:19" ht="15" customHeight="1">
      <c r="D53" s="107">
        <v>46054</v>
      </c>
      <c r="E53" s="5">
        <f>Consolidated!F7</f>
        <v>284996.24</v>
      </c>
      <c r="F53" s="5">
        <f>Consolidated!F46</f>
        <v>73205.26999999999</v>
      </c>
      <c r="G53" s="5">
        <f>Consolidated!F49</f>
        <v>72233.959999999992</v>
      </c>
      <c r="H53" s="5">
        <f>Consolidated!F53</f>
        <v>62114.709999999992</v>
      </c>
      <c r="I53" s="3">
        <f t="shared" si="36"/>
        <v>397880.9700000002</v>
      </c>
      <c r="J53" s="3">
        <f>Caixa!G6</f>
        <v>326651.90999999997</v>
      </c>
      <c r="L53" s="107">
        <f t="shared" si="0"/>
        <v>46054</v>
      </c>
      <c r="M53" s="5">
        <f t="shared" si="4"/>
        <v>62114.709999999992</v>
      </c>
      <c r="N53" s="5" t="e">
        <f t="shared" si="5"/>
        <v>#N/A</v>
      </c>
      <c r="P53" s="325" t="s">
        <v>619</v>
      </c>
      <c r="Q53" s="390">
        <f t="shared" ref="Q53" si="49">SUM(H52:H54)</f>
        <v>78768.990000000107</v>
      </c>
      <c r="R53" s="393">
        <f t="shared" ref="R53" si="50">IF(Q53&gt;=0,Q53,NA())</f>
        <v>78768.990000000107</v>
      </c>
      <c r="S53" s="393" t="e">
        <f t="shared" ref="S53" si="51">IF(Q53&lt;0,Q53,NA())</f>
        <v>#N/A</v>
      </c>
    </row>
    <row r="54" spans="3:19" ht="15" customHeight="1">
      <c r="C54" s="111">
        <f>E54/E51-1</f>
        <v>-7.0878289592106736E-2</v>
      </c>
      <c r="D54" s="108">
        <v>46082</v>
      </c>
      <c r="E54" s="109">
        <f>Consolidated!G7</f>
        <v>272796.35000000009</v>
      </c>
      <c r="F54" s="109">
        <f>Consolidated!G46</f>
        <v>42036.290000000117</v>
      </c>
      <c r="G54" s="109">
        <f>Consolidated!G49</f>
        <v>41699.140000000116</v>
      </c>
      <c r="H54" s="109">
        <f>Consolidated!G53</f>
        <v>32959.560000000121</v>
      </c>
      <c r="I54" s="110">
        <f t="shared" si="36"/>
        <v>430840.53000000032</v>
      </c>
      <c r="J54" s="110">
        <f>Caixa!H6</f>
        <v>359161.59</v>
      </c>
      <c r="L54" s="108">
        <f t="shared" si="0"/>
        <v>46082</v>
      </c>
      <c r="M54" s="109">
        <f t="shared" si="4"/>
        <v>32959.560000000121</v>
      </c>
      <c r="N54" s="109" t="e">
        <f t="shared" si="5"/>
        <v>#N/A</v>
      </c>
      <c r="P54" s="325"/>
      <c r="Q54" s="391"/>
      <c r="R54" s="394"/>
      <c r="S54" s="394"/>
    </row>
    <row r="55" spans="3:19" ht="15" customHeight="1">
      <c r="D55" s="107">
        <v>46113</v>
      </c>
      <c r="E55" s="5">
        <f>Consolidated!H7</f>
        <v>266720.63000000006</v>
      </c>
      <c r="F55" s="5">
        <f>Consolidated!H46</f>
        <v>-15400.709999999906</v>
      </c>
      <c r="G55" s="5">
        <f>Consolidated!H49</f>
        <v>-16149.219999999905</v>
      </c>
      <c r="H55" s="5">
        <f>Consolidated!H53</f>
        <v>-26786.079999999907</v>
      </c>
      <c r="I55" s="3">
        <f t="shared" si="36"/>
        <v>404054.45000000042</v>
      </c>
      <c r="J55" s="3">
        <f>Caixa!I6</f>
        <v>358806.95999999996</v>
      </c>
      <c r="L55" s="107">
        <f t="shared" si="0"/>
        <v>46113</v>
      </c>
      <c r="M55" s="5" t="e">
        <f t="shared" si="4"/>
        <v>#N/A</v>
      </c>
      <c r="N55" s="5">
        <f t="shared" si="5"/>
        <v>-26786.079999999907</v>
      </c>
      <c r="P55" s="326"/>
      <c r="Q55" s="392"/>
      <c r="R55" s="395"/>
      <c r="S55" s="395"/>
    </row>
    <row r="56" spans="3:19" ht="15" customHeight="1">
      <c r="D56" s="107">
        <v>46143</v>
      </c>
      <c r="E56" s="5">
        <f>Consolidated!I7</f>
        <v>277334.58</v>
      </c>
      <c r="F56" s="5">
        <f>Consolidated!I46</f>
        <v>46543.059999999961</v>
      </c>
      <c r="G56" s="5">
        <f>Consolidated!I49</f>
        <v>46819.329999999965</v>
      </c>
      <c r="H56" s="5">
        <f>Consolidated!I53</f>
        <v>37549.299999999967</v>
      </c>
      <c r="I56" s="3">
        <f t="shared" si="36"/>
        <v>441603.75000000041</v>
      </c>
      <c r="J56" s="3">
        <f>Caixa!J6</f>
        <v>423235.4800000001</v>
      </c>
      <c r="L56" s="107">
        <f t="shared" si="0"/>
        <v>46143</v>
      </c>
      <c r="M56" s="5">
        <f t="shared" si="4"/>
        <v>37549.299999999967</v>
      </c>
      <c r="N56" s="5" t="e">
        <f t="shared" si="5"/>
        <v>#N/A</v>
      </c>
      <c r="P56" s="325" t="s">
        <v>620</v>
      </c>
      <c r="Q56" s="390">
        <f t="shared" ref="Q56" si="52">SUM(H55:H57)</f>
        <v>84740.540000000095</v>
      </c>
      <c r="R56" s="393">
        <f t="shared" ref="R56" si="53">IF(Q56&gt;=0,Q56,NA())</f>
        <v>84740.540000000095</v>
      </c>
      <c r="S56" s="393" t="e">
        <f t="shared" ref="S56" si="54">IF(Q56&lt;0,Q56,NA())</f>
        <v>#N/A</v>
      </c>
    </row>
    <row r="57" spans="3:19" ht="15" customHeight="1">
      <c r="C57" s="111">
        <f>E57/E54-1</f>
        <v>0.10543220244699003</v>
      </c>
      <c r="D57" s="108">
        <v>46174</v>
      </c>
      <c r="E57" s="109">
        <f>Consolidated!J7</f>
        <v>301557.87000000005</v>
      </c>
      <c r="F57" s="109">
        <f>Consolidated!J46</f>
        <v>86619.880000000034</v>
      </c>
      <c r="G57" s="109">
        <f>Consolidated!J49</f>
        <v>83103.440000000031</v>
      </c>
      <c r="H57" s="109">
        <f>Consolidated!J53</f>
        <v>73977.320000000036</v>
      </c>
      <c r="I57" s="110">
        <f t="shared" si="36"/>
        <v>515581.07000000041</v>
      </c>
      <c r="J57" s="110">
        <f>Caixa!K6</f>
        <v>430815.65</v>
      </c>
      <c r="L57" s="108">
        <f t="shared" si="0"/>
        <v>46174</v>
      </c>
      <c r="M57" s="109">
        <f>IF(H57&gt;=0,H57,NA())</f>
        <v>73977.320000000036</v>
      </c>
      <c r="N57" s="109" t="e">
        <f t="shared" si="5"/>
        <v>#N/A</v>
      </c>
      <c r="P57" s="325"/>
      <c r="Q57" s="391"/>
      <c r="R57" s="394"/>
      <c r="S57" s="394"/>
    </row>
    <row r="58" spans="3:19" ht="15" customHeight="1">
      <c r="D58" s="107">
        <v>46204</v>
      </c>
      <c r="E58" s="5">
        <f>Consolidated!K7</f>
        <v>280619.08000000007</v>
      </c>
      <c r="F58" s="5">
        <f>Consolidated!K46</f>
        <v>-4722.4699999999611</v>
      </c>
      <c r="G58" s="5">
        <f>Consolidated!K49</f>
        <v>-4902.1899999999623</v>
      </c>
      <c r="H58" s="5">
        <f>Consolidated!K53</f>
        <v>-14288.199999999964</v>
      </c>
      <c r="I58" s="3">
        <f t="shared" si="36"/>
        <v>501292.87000000046</v>
      </c>
      <c r="J58" s="3">
        <f>Caixa!L6</f>
        <v>358819.06</v>
      </c>
      <c r="L58" s="107">
        <f t="shared" si="0"/>
        <v>46204</v>
      </c>
      <c r="M58" s="5" t="e">
        <f t="shared" si="4"/>
        <v>#N/A</v>
      </c>
      <c r="N58" s="5">
        <f t="shared" si="5"/>
        <v>-14288.199999999964</v>
      </c>
      <c r="P58" s="326"/>
      <c r="Q58" s="392"/>
      <c r="R58" s="395"/>
      <c r="S58" s="395"/>
    </row>
    <row r="59" spans="3:19" ht="15" customHeight="1">
      <c r="D59" s="107">
        <v>46235</v>
      </c>
      <c r="E59" s="5">
        <f>Consolidated!L7</f>
        <v>0</v>
      </c>
      <c r="F59" s="5">
        <f>Consolidated!L46</f>
        <v>0</v>
      </c>
      <c r="G59" s="5">
        <f>Consolidated!L49</f>
        <v>0</v>
      </c>
      <c r="H59" s="5">
        <f>Consolidated!L53</f>
        <v>0</v>
      </c>
      <c r="I59" s="3">
        <f t="shared" si="36"/>
        <v>501292.87000000046</v>
      </c>
      <c r="J59" s="3"/>
      <c r="L59" s="107">
        <f t="shared" si="0"/>
        <v>46235</v>
      </c>
      <c r="M59" s="5">
        <f t="shared" si="4"/>
        <v>0</v>
      </c>
      <c r="N59" s="5" t="e">
        <f t="shared" si="5"/>
        <v>#N/A</v>
      </c>
      <c r="P59" s="325" t="s">
        <v>621</v>
      </c>
      <c r="Q59" s="390">
        <f t="shared" ref="Q59" si="55">SUM(H58:H60)</f>
        <v>-14288.199999999964</v>
      </c>
      <c r="R59" s="393" t="e">
        <f t="shared" ref="R59" si="56">IF(Q59&gt;=0,Q59,NA())</f>
        <v>#N/A</v>
      </c>
      <c r="S59" s="393">
        <f t="shared" ref="S59" si="57">IF(Q59&lt;0,Q59,NA())</f>
        <v>-14288.199999999964</v>
      </c>
    </row>
    <row r="60" spans="3:19" ht="15" customHeight="1">
      <c r="C60" s="111">
        <f>E60/E57-1</f>
        <v>-1</v>
      </c>
      <c r="D60" s="108">
        <v>46266</v>
      </c>
      <c r="E60" s="109">
        <f>Consolidated!M7</f>
        <v>0</v>
      </c>
      <c r="F60" s="109">
        <f>Consolidated!M46</f>
        <v>0</v>
      </c>
      <c r="G60" s="109">
        <f>Consolidated!M49</f>
        <v>0</v>
      </c>
      <c r="H60" s="109">
        <f>Consolidated!M53</f>
        <v>0</v>
      </c>
      <c r="I60" s="110">
        <f t="shared" si="36"/>
        <v>501292.87000000046</v>
      </c>
      <c r="J60" s="110"/>
      <c r="L60" s="108">
        <f t="shared" si="0"/>
        <v>46266</v>
      </c>
      <c r="M60" s="109">
        <f t="shared" si="4"/>
        <v>0</v>
      </c>
      <c r="N60" s="109" t="e">
        <f t="shared" si="5"/>
        <v>#N/A</v>
      </c>
      <c r="P60" s="325"/>
      <c r="Q60" s="391"/>
      <c r="R60" s="394"/>
      <c r="S60" s="394"/>
    </row>
    <row r="61" spans="3:19" ht="15" customHeight="1">
      <c r="D61" s="107">
        <v>46296</v>
      </c>
      <c r="E61" s="5">
        <f>Consolidated!N7</f>
        <v>0</v>
      </c>
      <c r="F61" s="5">
        <f>Consolidated!N46</f>
        <v>0</v>
      </c>
      <c r="G61" s="5">
        <f>Consolidated!N49</f>
        <v>0</v>
      </c>
      <c r="H61" s="5">
        <f>Consolidated!N53</f>
        <v>0</v>
      </c>
      <c r="I61" s="3">
        <f t="shared" si="36"/>
        <v>501292.87000000046</v>
      </c>
      <c r="J61" s="3"/>
      <c r="L61" s="107">
        <f t="shared" si="0"/>
        <v>46296</v>
      </c>
      <c r="M61" s="5">
        <f t="shared" si="4"/>
        <v>0</v>
      </c>
      <c r="N61" s="5" t="e">
        <f t="shared" si="5"/>
        <v>#N/A</v>
      </c>
      <c r="P61" s="326"/>
      <c r="Q61" s="392"/>
      <c r="R61" s="395"/>
      <c r="S61" s="395"/>
    </row>
    <row r="62" spans="3:19" ht="15" customHeight="1">
      <c r="D62" s="107">
        <v>46327</v>
      </c>
      <c r="E62" s="5">
        <f>Consolidated!O7</f>
        <v>0</v>
      </c>
      <c r="F62" s="5">
        <f>Consolidated!O46</f>
        <v>0</v>
      </c>
      <c r="G62" s="5">
        <f>Consolidated!O49</f>
        <v>0</v>
      </c>
      <c r="H62" s="5">
        <f>Consolidated!O53</f>
        <v>0</v>
      </c>
      <c r="I62" s="3">
        <f t="shared" si="36"/>
        <v>501292.87000000046</v>
      </c>
      <c r="J62" s="3"/>
      <c r="L62" s="107">
        <f t="shared" si="0"/>
        <v>46327</v>
      </c>
      <c r="M62" s="5">
        <f t="shared" si="4"/>
        <v>0</v>
      </c>
      <c r="N62" s="5" t="e">
        <f t="shared" si="5"/>
        <v>#N/A</v>
      </c>
      <c r="P62" s="325" t="s">
        <v>622</v>
      </c>
      <c r="Q62" s="390">
        <f t="shared" ref="Q62" si="58">SUM(H61:H63)</f>
        <v>0</v>
      </c>
      <c r="R62" s="393">
        <f t="shared" ref="R62" si="59">IF(Q62&gt;=0,Q62,NA())</f>
        <v>0</v>
      </c>
      <c r="S62" s="393" t="e">
        <f t="shared" ref="S62" si="60">IF(Q62&lt;0,Q62,NA())</f>
        <v>#N/A</v>
      </c>
    </row>
    <row r="63" spans="3:19" ht="15" customHeight="1">
      <c r="C63" s="111" t="e">
        <f>E63/E60-1</f>
        <v>#DIV/0!</v>
      </c>
      <c r="D63" s="108">
        <v>46357</v>
      </c>
      <c r="E63" s="109">
        <f>Consolidated!P7</f>
        <v>0</v>
      </c>
      <c r="F63" s="109">
        <f>Consolidated!P46</f>
        <v>0</v>
      </c>
      <c r="G63" s="109">
        <f>Consolidated!P49</f>
        <v>0</v>
      </c>
      <c r="H63" s="109">
        <f>Consolidated!P53</f>
        <v>0</v>
      </c>
      <c r="I63" s="110">
        <f t="shared" si="36"/>
        <v>501292.87000000046</v>
      </c>
      <c r="J63" s="110"/>
      <c r="L63" s="108">
        <f t="shared" si="0"/>
        <v>46357</v>
      </c>
      <c r="M63" s="109">
        <f t="shared" si="4"/>
        <v>0</v>
      </c>
      <c r="N63" s="109" t="e">
        <f t="shared" si="5"/>
        <v>#N/A</v>
      </c>
      <c r="P63" s="325"/>
      <c r="Q63" s="391"/>
      <c r="R63" s="394"/>
      <c r="S63" s="394"/>
    </row>
    <row r="64" spans="3:19">
      <c r="P64" s="326"/>
      <c r="Q64" s="392"/>
      <c r="R64" s="395"/>
      <c r="S64" s="395"/>
    </row>
  </sheetData>
  <mergeCells count="64">
    <mergeCell ref="P5:P7"/>
    <mergeCell ref="Q5:Q7"/>
    <mergeCell ref="R5:R7"/>
    <mergeCell ref="S5:S7"/>
    <mergeCell ref="P8:P10"/>
    <mergeCell ref="P14:P16"/>
    <mergeCell ref="Q8:Q10"/>
    <mergeCell ref="R8:R10"/>
    <mergeCell ref="S8:S10"/>
    <mergeCell ref="Q11:Q13"/>
    <mergeCell ref="R11:R13"/>
    <mergeCell ref="S11:S13"/>
    <mergeCell ref="Q14:Q16"/>
    <mergeCell ref="R14:R16"/>
    <mergeCell ref="S14:S16"/>
    <mergeCell ref="P11:P13"/>
    <mergeCell ref="Q17:Q19"/>
    <mergeCell ref="R17:R19"/>
    <mergeCell ref="S17:S19"/>
    <mergeCell ref="Q20:Q22"/>
    <mergeCell ref="R20:R22"/>
    <mergeCell ref="S20:S22"/>
    <mergeCell ref="Q23:Q25"/>
    <mergeCell ref="R23:R25"/>
    <mergeCell ref="S23:S25"/>
    <mergeCell ref="Q26:Q28"/>
    <mergeCell ref="R26:R28"/>
    <mergeCell ref="S26:S28"/>
    <mergeCell ref="Q29:Q31"/>
    <mergeCell ref="R29:R31"/>
    <mergeCell ref="S29:S31"/>
    <mergeCell ref="Q32:Q34"/>
    <mergeCell ref="R32:R34"/>
    <mergeCell ref="S32:S34"/>
    <mergeCell ref="Q35:Q37"/>
    <mergeCell ref="R35:R37"/>
    <mergeCell ref="S35:S37"/>
    <mergeCell ref="Q38:Q40"/>
    <mergeCell ref="R38:R40"/>
    <mergeCell ref="S38:S40"/>
    <mergeCell ref="Q41:Q43"/>
    <mergeCell ref="R41:R43"/>
    <mergeCell ref="S41:S43"/>
    <mergeCell ref="Q44:Q46"/>
    <mergeCell ref="R44:R46"/>
    <mergeCell ref="S44:S46"/>
    <mergeCell ref="Q47:Q49"/>
    <mergeCell ref="R47:R49"/>
    <mergeCell ref="S47:S49"/>
    <mergeCell ref="Q50:Q52"/>
    <mergeCell ref="R50:R52"/>
    <mergeCell ref="S50:S52"/>
    <mergeCell ref="Q53:Q55"/>
    <mergeCell ref="R53:R55"/>
    <mergeCell ref="S53:S55"/>
    <mergeCell ref="Q56:Q58"/>
    <mergeCell ref="R56:R58"/>
    <mergeCell ref="S56:S58"/>
    <mergeCell ref="Q59:Q61"/>
    <mergeCell ref="R59:R61"/>
    <mergeCell ref="S59:S61"/>
    <mergeCell ref="Q62:Q64"/>
    <mergeCell ref="R62:R64"/>
    <mergeCell ref="S62:S6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D89"/>
  <sheetViews>
    <sheetView topLeftCell="A42" zoomScaleNormal="100" workbookViewId="0">
      <selection activeCell="E84" sqref="E84"/>
    </sheetView>
  </sheetViews>
  <sheetFormatPr baseColWidth="10" defaultColWidth="8.83203125" defaultRowHeight="15"/>
  <cols>
    <col min="3" max="3" width="16.1640625" style="3" customWidth="1"/>
    <col min="4" max="5" width="15" customWidth="1"/>
    <col min="7" max="7" width="16" customWidth="1"/>
    <col min="8" max="8" width="21.6640625" bestFit="1" customWidth="1"/>
    <col min="9" max="9" width="16" customWidth="1"/>
    <col min="10" max="10" width="17.1640625" customWidth="1"/>
    <col min="11" max="11" width="21" bestFit="1" customWidth="1"/>
    <col min="12" max="12" width="15" bestFit="1" customWidth="1"/>
    <col min="15" max="15" width="21" bestFit="1" customWidth="1"/>
    <col min="16" max="16" width="15" bestFit="1" customWidth="1"/>
    <col min="27" max="27" width="16" customWidth="1"/>
    <col min="28" max="28" width="15" customWidth="1"/>
    <col min="30" max="30" width="15" customWidth="1"/>
  </cols>
  <sheetData>
    <row r="3" spans="1:28" ht="15" customHeight="1">
      <c r="A3" t="s">
        <v>167</v>
      </c>
      <c r="B3" t="s">
        <v>168</v>
      </c>
      <c r="C3" s="3" t="s">
        <v>169</v>
      </c>
      <c r="D3" t="s">
        <v>170</v>
      </c>
      <c r="E3" t="s">
        <v>171</v>
      </c>
    </row>
    <row r="4" spans="1:28" ht="15" customHeight="1">
      <c r="A4">
        <v>2020</v>
      </c>
      <c r="B4" t="s">
        <v>172</v>
      </c>
      <c r="C4" s="3">
        <v>140000</v>
      </c>
      <c r="H4" s="112" t="s">
        <v>173</v>
      </c>
      <c r="I4" s="3">
        <v>300677305</v>
      </c>
      <c r="J4" t="s">
        <v>174</v>
      </c>
    </row>
    <row r="5" spans="1:28" ht="15" customHeight="1">
      <c r="A5">
        <v>2020</v>
      </c>
      <c r="B5" t="s">
        <v>175</v>
      </c>
      <c r="C5" s="3">
        <v>1670000</v>
      </c>
      <c r="H5" s="112" t="s">
        <v>176</v>
      </c>
      <c r="I5" s="3">
        <f>C72-C69</f>
        <v>13871682</v>
      </c>
    </row>
    <row r="6" spans="1:28" ht="15" customHeight="1">
      <c r="A6">
        <v>2020</v>
      </c>
      <c r="B6" t="s">
        <v>177</v>
      </c>
      <c r="C6" s="3">
        <v>7989000</v>
      </c>
      <c r="H6" s="112" t="s">
        <v>178</v>
      </c>
      <c r="I6" s="3">
        <v>1330386</v>
      </c>
    </row>
    <row r="7" spans="1:28" ht="15" customHeight="1">
      <c r="A7">
        <v>2020</v>
      </c>
      <c r="B7" t="s">
        <v>179</v>
      </c>
      <c r="C7" s="3">
        <v>10279000</v>
      </c>
      <c r="H7" s="112" t="s">
        <v>180</v>
      </c>
      <c r="I7" s="4">
        <v>26</v>
      </c>
    </row>
    <row r="8" spans="1:28" ht="15" customHeight="1">
      <c r="A8">
        <v>2020</v>
      </c>
      <c r="B8" t="s">
        <v>181</v>
      </c>
      <c r="C8" s="3">
        <v>14279000</v>
      </c>
      <c r="H8" s="112" t="s">
        <v>182</v>
      </c>
      <c r="I8" s="3">
        <v>1138000</v>
      </c>
    </row>
    <row r="9" spans="1:28" ht="15" customHeight="1">
      <c r="A9">
        <v>2020</v>
      </c>
      <c r="B9" t="s">
        <v>183</v>
      </c>
      <c r="C9" s="3">
        <v>23632000</v>
      </c>
    </row>
    <row r="10" spans="1:28" ht="15" customHeight="1">
      <c r="A10">
        <v>2020</v>
      </c>
      <c r="B10" t="s">
        <v>184</v>
      </c>
      <c r="C10" s="3">
        <v>45942000</v>
      </c>
      <c r="J10" t="s">
        <v>174</v>
      </c>
      <c r="AB10" t="s">
        <v>174</v>
      </c>
    </row>
    <row r="11" spans="1:28" ht="15" customHeight="1">
      <c r="A11">
        <v>2020</v>
      </c>
      <c r="B11" t="s">
        <v>185</v>
      </c>
      <c r="C11" s="3">
        <v>52027000</v>
      </c>
    </row>
    <row r="12" spans="1:28" ht="15" customHeight="1">
      <c r="A12">
        <v>2020</v>
      </c>
      <c r="B12" t="s">
        <v>186</v>
      </c>
      <c r="C12" s="3">
        <v>55488000</v>
      </c>
    </row>
    <row r="13" spans="1:28" ht="15" customHeight="1">
      <c r="A13">
        <v>2020</v>
      </c>
      <c r="B13" t="s">
        <v>187</v>
      </c>
      <c r="C13" s="3">
        <v>57587000</v>
      </c>
    </row>
    <row r="14" spans="1:28" ht="15" customHeight="1">
      <c r="A14">
        <v>2020</v>
      </c>
      <c r="B14" t="s">
        <v>188</v>
      </c>
      <c r="C14" s="3">
        <v>62318000</v>
      </c>
    </row>
    <row r="15" spans="1:28" ht="15" customHeight="1">
      <c r="A15">
        <v>2020</v>
      </c>
      <c r="B15" t="s">
        <v>189</v>
      </c>
      <c r="C15" s="3">
        <v>73497000</v>
      </c>
      <c r="D15" s="3">
        <f>Table1[[#This Row],[soma patrimonio por data]]</f>
        <v>73497000</v>
      </c>
    </row>
    <row r="16" spans="1:28" ht="15" customHeight="1">
      <c r="A16">
        <v>2021</v>
      </c>
      <c r="B16" t="s">
        <v>172</v>
      </c>
      <c r="C16" s="3">
        <v>78000000</v>
      </c>
    </row>
    <row r="17" spans="1:30" ht="15" customHeight="1">
      <c r="A17">
        <v>2021</v>
      </c>
      <c r="B17" t="s">
        <v>175</v>
      </c>
      <c r="C17" s="3">
        <v>80132000</v>
      </c>
    </row>
    <row r="18" spans="1:30" ht="15" customHeight="1">
      <c r="A18">
        <v>2021</v>
      </c>
      <c r="B18" t="s">
        <v>177</v>
      </c>
      <c r="C18" s="3">
        <v>83345000</v>
      </c>
    </row>
    <row r="19" spans="1:30" ht="15" customHeight="1">
      <c r="A19">
        <v>2021</v>
      </c>
      <c r="B19" t="s">
        <v>179</v>
      </c>
      <c r="C19" s="3">
        <v>85167000</v>
      </c>
    </row>
    <row r="20" spans="1:30" ht="15" customHeight="1">
      <c r="A20">
        <v>2021</v>
      </c>
      <c r="B20" t="s">
        <v>181</v>
      </c>
      <c r="C20" s="3">
        <v>84227000</v>
      </c>
    </row>
    <row r="21" spans="1:30" ht="15" customHeight="1">
      <c r="A21">
        <v>2021</v>
      </c>
      <c r="B21" t="s">
        <v>183</v>
      </c>
      <c r="C21" s="3">
        <v>84040000</v>
      </c>
    </row>
    <row r="22" spans="1:30" ht="15" customHeight="1">
      <c r="A22">
        <v>2021</v>
      </c>
      <c r="B22" t="s">
        <v>184</v>
      </c>
      <c r="C22" s="3">
        <v>83505000</v>
      </c>
    </row>
    <row r="23" spans="1:30" ht="15" customHeight="1">
      <c r="A23">
        <v>2021</v>
      </c>
      <c r="B23" t="s">
        <v>185</v>
      </c>
      <c r="C23" s="3">
        <v>88412500</v>
      </c>
    </row>
    <row r="24" spans="1:30" ht="15" customHeight="1">
      <c r="A24">
        <v>2021</v>
      </c>
      <c r="B24" t="s">
        <v>186</v>
      </c>
      <c r="C24" s="3">
        <v>91588500</v>
      </c>
    </row>
    <row r="25" spans="1:30" ht="15" customHeight="1">
      <c r="A25">
        <v>2021</v>
      </c>
      <c r="B25" t="s">
        <v>187</v>
      </c>
      <c r="C25" s="3">
        <v>89282500</v>
      </c>
    </row>
    <row r="26" spans="1:30" ht="15" customHeight="1">
      <c r="A26">
        <v>2021</v>
      </c>
      <c r="B26" t="s">
        <v>188</v>
      </c>
      <c r="C26" s="3">
        <v>90211900</v>
      </c>
    </row>
    <row r="27" spans="1:30" ht="15" customHeight="1">
      <c r="A27">
        <v>2021</v>
      </c>
      <c r="B27" t="s">
        <v>189</v>
      </c>
      <c r="C27" s="3">
        <v>102791730</v>
      </c>
      <c r="D27" s="19">
        <f>Table1[[#This Row],[soma patrimonio por data]]/D15-1</f>
        <v>0.39858402383770763</v>
      </c>
    </row>
    <row r="28" spans="1:30" ht="15" customHeight="1">
      <c r="A28">
        <v>2022</v>
      </c>
      <c r="B28" t="s">
        <v>172</v>
      </c>
      <c r="C28" s="3">
        <v>102901730</v>
      </c>
      <c r="D28" s="19"/>
    </row>
    <row r="29" spans="1:30" ht="15" customHeight="1">
      <c r="A29">
        <v>2022</v>
      </c>
      <c r="B29" t="s">
        <v>175</v>
      </c>
      <c r="C29" s="3">
        <v>104946730</v>
      </c>
      <c r="D29" s="19"/>
    </row>
    <row r="30" spans="1:30" ht="15" customHeight="1">
      <c r="A30">
        <v>2022</v>
      </c>
      <c r="B30" t="s">
        <v>177</v>
      </c>
      <c r="C30" s="3">
        <v>108974330</v>
      </c>
      <c r="D30" s="19"/>
    </row>
    <row r="31" spans="1:30" ht="15" customHeight="1">
      <c r="A31">
        <v>2022</v>
      </c>
      <c r="B31" t="s">
        <v>179</v>
      </c>
      <c r="C31" s="3">
        <v>111464130</v>
      </c>
      <c r="D31" s="19"/>
    </row>
    <row r="32" spans="1:30" ht="15" customHeight="1">
      <c r="A32">
        <v>2022</v>
      </c>
      <c r="B32" t="s">
        <v>181</v>
      </c>
      <c r="C32" s="3">
        <v>114549130</v>
      </c>
      <c r="D32" s="19"/>
      <c r="AD32" s="3"/>
    </row>
    <row r="33" spans="1:30" ht="15" customHeight="1">
      <c r="A33">
        <v>2022</v>
      </c>
      <c r="B33" t="s">
        <v>183</v>
      </c>
      <c r="C33" s="3">
        <v>110465130</v>
      </c>
      <c r="D33" s="19"/>
      <c r="AA33" s="3"/>
      <c r="AD33" s="3"/>
    </row>
    <row r="34" spans="1:30" ht="15" customHeight="1">
      <c r="A34">
        <v>2022</v>
      </c>
      <c r="B34" t="s">
        <v>184</v>
      </c>
      <c r="C34" s="3">
        <v>114886703</v>
      </c>
      <c r="D34" s="19"/>
      <c r="AA34" s="3"/>
      <c r="AD34" s="3"/>
    </row>
    <row r="35" spans="1:30" ht="15" customHeight="1">
      <c r="A35">
        <v>2022</v>
      </c>
      <c r="B35" t="s">
        <v>185</v>
      </c>
      <c r="C35" s="3">
        <v>121044703</v>
      </c>
      <c r="D35" s="19"/>
      <c r="AA35" s="3"/>
      <c r="AD35" s="3"/>
    </row>
    <row r="36" spans="1:30" ht="15" customHeight="1">
      <c r="A36">
        <v>2022</v>
      </c>
      <c r="B36" t="s">
        <v>186</v>
      </c>
      <c r="C36" s="3">
        <v>120045703</v>
      </c>
      <c r="D36" s="19"/>
      <c r="AA36" s="3"/>
      <c r="AD36" s="3"/>
    </row>
    <row r="37" spans="1:30" ht="15" customHeight="1">
      <c r="A37">
        <v>2022</v>
      </c>
      <c r="B37" t="s">
        <v>187</v>
      </c>
      <c r="C37" s="3">
        <v>124505703</v>
      </c>
      <c r="D37" s="19"/>
      <c r="AA37" s="3"/>
      <c r="AB37" s="3"/>
      <c r="AD37" s="3"/>
    </row>
    <row r="38" spans="1:30" ht="15" customHeight="1">
      <c r="A38">
        <v>2022</v>
      </c>
      <c r="B38" t="s">
        <v>188</v>
      </c>
      <c r="C38" s="3">
        <v>124747703</v>
      </c>
      <c r="D38" s="19"/>
      <c r="AD38" s="3"/>
    </row>
    <row r="39" spans="1:30" ht="15" customHeight="1">
      <c r="A39">
        <v>2022</v>
      </c>
      <c r="B39" t="s">
        <v>189</v>
      </c>
      <c r="C39" s="3">
        <v>132092873</v>
      </c>
      <c r="D39" s="19">
        <f>Table1[[#This Row],[soma patrimonio por data]]/C27-1</f>
        <v>0.28505350576354727</v>
      </c>
      <c r="AD39" s="3"/>
    </row>
    <row r="40" spans="1:30" ht="15" customHeight="1">
      <c r="A40">
        <v>2023</v>
      </c>
      <c r="B40" t="s">
        <v>172</v>
      </c>
      <c r="C40" s="3">
        <v>139279413</v>
      </c>
      <c r="D40" s="19"/>
      <c r="AD40" s="3"/>
    </row>
    <row r="41" spans="1:30" ht="15" customHeight="1">
      <c r="A41">
        <v>2023</v>
      </c>
      <c r="B41" t="s">
        <v>175</v>
      </c>
      <c r="C41" s="3">
        <v>154461413</v>
      </c>
      <c r="D41" s="19"/>
      <c r="AD41" s="3"/>
    </row>
    <row r="42" spans="1:30" ht="15" customHeight="1">
      <c r="A42">
        <v>2023</v>
      </c>
      <c r="B42" t="s">
        <v>177</v>
      </c>
      <c r="C42" s="3">
        <v>170382813</v>
      </c>
      <c r="D42" s="19"/>
      <c r="AD42" s="3"/>
    </row>
    <row r="43" spans="1:30" ht="15" customHeight="1">
      <c r="A43">
        <v>2023</v>
      </c>
      <c r="B43" t="s">
        <v>179</v>
      </c>
      <c r="C43" s="3">
        <v>172774223</v>
      </c>
      <c r="D43" s="19"/>
      <c r="AD43" s="3"/>
    </row>
    <row r="44" spans="1:30" ht="15" customHeight="1">
      <c r="A44">
        <v>2023</v>
      </c>
      <c r="B44" t="s">
        <v>181</v>
      </c>
      <c r="C44" s="3">
        <v>177770223</v>
      </c>
      <c r="D44" s="19"/>
      <c r="AD44" s="3"/>
    </row>
    <row r="45" spans="1:30" ht="15" customHeight="1">
      <c r="A45">
        <v>2023</v>
      </c>
      <c r="B45" t="s">
        <v>183</v>
      </c>
      <c r="C45" s="3">
        <v>186827868</v>
      </c>
      <c r="D45" s="19"/>
    </row>
    <row r="46" spans="1:30" ht="15" customHeight="1">
      <c r="A46">
        <v>2023</v>
      </c>
      <c r="B46" t="s">
        <v>184</v>
      </c>
      <c r="C46" s="3">
        <v>191841913</v>
      </c>
      <c r="D46" s="19"/>
    </row>
    <row r="47" spans="1:30" ht="15" customHeight="1">
      <c r="A47">
        <v>2023</v>
      </c>
      <c r="B47" t="s">
        <v>185</v>
      </c>
      <c r="C47" s="3">
        <v>203247793</v>
      </c>
      <c r="D47" s="19"/>
    </row>
    <row r="48" spans="1:30" ht="15" customHeight="1">
      <c r="A48">
        <v>2023</v>
      </c>
      <c r="B48" t="s">
        <v>186</v>
      </c>
      <c r="C48" s="3">
        <v>189460326</v>
      </c>
      <c r="D48" s="19"/>
    </row>
    <row r="49" spans="1:7" ht="15" customHeight="1">
      <c r="A49">
        <v>2023</v>
      </c>
      <c r="B49" t="s">
        <v>187</v>
      </c>
      <c r="C49" s="3">
        <v>191324326</v>
      </c>
      <c r="D49" s="19"/>
    </row>
    <row r="50" spans="1:7" ht="15" customHeight="1">
      <c r="A50">
        <v>2023</v>
      </c>
      <c r="B50" t="s">
        <v>188</v>
      </c>
      <c r="C50" s="3">
        <v>192604326</v>
      </c>
      <c r="D50" s="19"/>
    </row>
    <row r="51" spans="1:7" ht="15" customHeight="1">
      <c r="A51">
        <v>2023</v>
      </c>
      <c r="B51" t="s">
        <v>189</v>
      </c>
      <c r="C51" s="3">
        <v>197799896</v>
      </c>
      <c r="D51" s="19">
        <f>Table1[[#This Row],[soma patrimonio por data]]/C39-1</f>
        <v>0.49743049346803137</v>
      </c>
    </row>
    <row r="52" spans="1:7" ht="15" customHeight="1">
      <c r="A52">
        <v>2024</v>
      </c>
      <c r="B52" t="s">
        <v>172</v>
      </c>
      <c r="C52" s="3">
        <v>198682357</v>
      </c>
      <c r="D52" s="19"/>
    </row>
    <row r="53" spans="1:7" ht="15" customHeight="1">
      <c r="A53">
        <v>2024</v>
      </c>
      <c r="B53" t="s">
        <v>175</v>
      </c>
      <c r="C53" s="3">
        <v>201650489</v>
      </c>
      <c r="D53" s="19"/>
    </row>
    <row r="54" spans="1:7" ht="15" customHeight="1">
      <c r="A54">
        <v>2024</v>
      </c>
      <c r="B54" t="s">
        <v>177</v>
      </c>
      <c r="C54" s="3">
        <v>205117261</v>
      </c>
      <c r="D54" s="19"/>
    </row>
    <row r="55" spans="1:7" ht="15" customHeight="1">
      <c r="A55">
        <v>2024</v>
      </c>
      <c r="B55" t="s">
        <v>179</v>
      </c>
      <c r="C55" s="3">
        <v>214972687</v>
      </c>
      <c r="D55" s="19"/>
    </row>
    <row r="56" spans="1:7" ht="15" customHeight="1">
      <c r="A56">
        <v>2024</v>
      </c>
      <c r="B56" t="s">
        <v>181</v>
      </c>
      <c r="C56" s="3">
        <v>201977250</v>
      </c>
      <c r="D56" s="19"/>
    </row>
    <row r="57" spans="1:7" ht="15" customHeight="1">
      <c r="A57">
        <v>2024</v>
      </c>
      <c r="B57" t="s">
        <v>183</v>
      </c>
      <c r="C57" s="3">
        <v>204036094</v>
      </c>
      <c r="D57" s="19"/>
    </row>
    <row r="58" spans="1:7" ht="15" customHeight="1">
      <c r="A58">
        <v>2024</v>
      </c>
      <c r="B58" t="s">
        <v>184</v>
      </c>
      <c r="C58" s="3">
        <v>206802825</v>
      </c>
      <c r="D58" s="19"/>
    </row>
    <row r="59" spans="1:7" ht="15" customHeight="1">
      <c r="A59">
        <v>2024</v>
      </c>
      <c r="B59" t="s">
        <v>185</v>
      </c>
      <c r="C59" s="3">
        <v>212110681</v>
      </c>
      <c r="D59" s="19"/>
    </row>
    <row r="60" spans="1:7" ht="15" customHeight="1">
      <c r="A60">
        <v>2024</v>
      </c>
      <c r="B60" t="s">
        <v>186</v>
      </c>
      <c r="C60" s="3">
        <v>194722394</v>
      </c>
      <c r="D60" s="19"/>
    </row>
    <row r="61" spans="1:7" ht="15" customHeight="1">
      <c r="A61">
        <v>2024</v>
      </c>
      <c r="B61" t="s">
        <v>187</v>
      </c>
      <c r="C61" s="3">
        <v>197478689</v>
      </c>
      <c r="D61" s="19"/>
    </row>
    <row r="62" spans="1:7" ht="15" customHeight="1">
      <c r="A62">
        <v>2024</v>
      </c>
      <c r="B62" t="s">
        <v>188</v>
      </c>
      <c r="C62" s="3">
        <v>204031269</v>
      </c>
      <c r="D62" s="19"/>
    </row>
    <row r="63" spans="1:7" ht="15" customHeight="1">
      <c r="A63">
        <v>2024</v>
      </c>
      <c r="B63" t="s">
        <v>189</v>
      </c>
      <c r="C63" s="3">
        <v>204764492</v>
      </c>
      <c r="D63" s="19">
        <f>Table1[[#This Row],[soma patrimonio por data]]/C51-1</f>
        <v>3.5210311738485434E-2</v>
      </c>
      <c r="G63" s="3"/>
    </row>
    <row r="64" spans="1:7" ht="15" customHeight="1">
      <c r="A64">
        <v>2025</v>
      </c>
      <c r="B64" t="s">
        <v>172</v>
      </c>
      <c r="C64" s="3">
        <v>216093206</v>
      </c>
      <c r="D64" s="19"/>
    </row>
    <row r="65" spans="1:10" ht="15" customHeight="1">
      <c r="A65">
        <v>2025</v>
      </c>
      <c r="B65" t="s">
        <v>175</v>
      </c>
      <c r="C65" s="3">
        <v>240222663</v>
      </c>
      <c r="D65" s="19"/>
    </row>
    <row r="66" spans="1:10" ht="15" customHeight="1">
      <c r="A66">
        <v>2025</v>
      </c>
      <c r="B66" t="s">
        <v>177</v>
      </c>
      <c r="C66" s="3">
        <v>245784695</v>
      </c>
      <c r="D66" s="19"/>
    </row>
    <row r="67" spans="1:10" ht="15" customHeight="1">
      <c r="A67">
        <v>2025</v>
      </c>
      <c r="B67" t="s">
        <v>179</v>
      </c>
      <c r="C67" s="3">
        <v>268699101</v>
      </c>
      <c r="D67" s="19"/>
    </row>
    <row r="68" spans="1:10" ht="15" customHeight="1">
      <c r="A68">
        <v>2025</v>
      </c>
      <c r="B68" t="s">
        <v>181</v>
      </c>
      <c r="C68" s="3">
        <v>271198724</v>
      </c>
      <c r="D68" s="19"/>
    </row>
    <row r="69" spans="1:10" ht="15" customHeight="1">
      <c r="A69">
        <v>2025</v>
      </c>
      <c r="B69" t="s">
        <v>183</v>
      </c>
      <c r="C69" s="3">
        <v>286795623</v>
      </c>
      <c r="D69" s="19"/>
    </row>
    <row r="70" spans="1:10" ht="15" customHeight="1">
      <c r="A70">
        <v>2025</v>
      </c>
      <c r="B70" t="s">
        <v>184</v>
      </c>
      <c r="C70" s="3">
        <v>292458969</v>
      </c>
      <c r="D70" s="19"/>
    </row>
    <row r="71" spans="1:10" ht="15" customHeight="1">
      <c r="A71">
        <v>2025</v>
      </c>
      <c r="B71" t="s">
        <v>185</v>
      </c>
      <c r="C71" s="3">
        <v>295793357</v>
      </c>
      <c r="D71" s="19"/>
    </row>
    <row r="72" spans="1:10" ht="15" customHeight="1">
      <c r="A72">
        <v>2025</v>
      </c>
      <c r="B72" t="s">
        <v>186</v>
      </c>
      <c r="C72" s="3">
        <v>300667305</v>
      </c>
      <c r="D72" s="19">
        <f>Table1[[#This Row],[soma patrimonio por data]]/C63-1</f>
        <v>0.4683566572665343</v>
      </c>
      <c r="E72" s="3">
        <f>Table1[[#This Row],[soma patrimonio por data]]-C69</f>
        <v>13871682</v>
      </c>
      <c r="G72" s="3"/>
      <c r="J72" s="90"/>
    </row>
    <row r="73" spans="1:10" ht="15" customHeight="1">
      <c r="A73">
        <v>2025</v>
      </c>
      <c r="B73" t="s">
        <v>187</v>
      </c>
      <c r="C73" s="3">
        <v>304089276</v>
      </c>
      <c r="G73" s="113"/>
      <c r="J73" s="3"/>
    </row>
    <row r="74" spans="1:10" ht="15" customHeight="1">
      <c r="A74">
        <v>2025</v>
      </c>
      <c r="B74" t="s">
        <v>188</v>
      </c>
      <c r="C74" s="3">
        <v>306823811</v>
      </c>
      <c r="D74" s="15"/>
      <c r="J74" s="3"/>
    </row>
    <row r="75" spans="1:10" ht="15" customHeight="1">
      <c r="A75">
        <v>2025</v>
      </c>
      <c r="B75" t="s">
        <v>189</v>
      </c>
      <c r="C75" s="3">
        <v>310965744</v>
      </c>
      <c r="D75" s="19">
        <f>Table1[[#This Row],[soma patrimonio por data]]/C63-1</f>
        <v>0.51865072387648148</v>
      </c>
      <c r="J75" s="113"/>
    </row>
    <row r="76" spans="1:10" ht="15" customHeight="1">
      <c r="A76">
        <v>2026</v>
      </c>
      <c r="B76" t="s">
        <v>172</v>
      </c>
      <c r="C76" s="3">
        <v>290504767</v>
      </c>
    </row>
    <row r="77" spans="1:10" ht="15" customHeight="1">
      <c r="A77">
        <v>2026</v>
      </c>
      <c r="B77" t="s">
        <v>175</v>
      </c>
      <c r="C77" s="3">
        <v>304511145</v>
      </c>
    </row>
    <row r="78" spans="1:10" ht="15" customHeight="1">
      <c r="A78">
        <v>2026</v>
      </c>
      <c r="B78" t="s">
        <v>177</v>
      </c>
      <c r="C78" s="3">
        <v>309415143</v>
      </c>
      <c r="D78" s="111">
        <f>Table1[[#This Row],[soma patrimonio por data]]/C75-1</f>
        <v>-4.9864045475054297E-3</v>
      </c>
    </row>
    <row r="79" spans="1:10" ht="15" customHeight="1">
      <c r="A79">
        <v>2026</v>
      </c>
      <c r="B79" t="s">
        <v>179</v>
      </c>
      <c r="C79" s="3">
        <v>311856596</v>
      </c>
    </row>
    <row r="80" spans="1:10">
      <c r="A80">
        <v>2026</v>
      </c>
      <c r="B80" t="s">
        <v>181</v>
      </c>
      <c r="C80" s="3">
        <v>312069591</v>
      </c>
    </row>
    <row r="81" spans="1:16">
      <c r="A81">
        <v>2026</v>
      </c>
      <c r="B81" t="s">
        <v>183</v>
      </c>
      <c r="C81" s="3">
        <v>295791970</v>
      </c>
    </row>
    <row r="82" spans="1:16">
      <c r="A82">
        <v>2026</v>
      </c>
      <c r="B82" t="s">
        <v>184</v>
      </c>
      <c r="C82" s="3">
        <v>254401486</v>
      </c>
    </row>
    <row r="83" spans="1:16">
      <c r="A83">
        <v>2026</v>
      </c>
      <c r="B83" t="s">
        <v>185</v>
      </c>
    </row>
    <row r="84" spans="1:16">
      <c r="A84">
        <v>2026</v>
      </c>
      <c r="B84" t="s">
        <v>186</v>
      </c>
    </row>
    <row r="85" spans="1:16">
      <c r="A85">
        <v>2026</v>
      </c>
      <c r="B85" t="s">
        <v>187</v>
      </c>
    </row>
    <row r="86" spans="1:16">
      <c r="A86">
        <v>2026</v>
      </c>
      <c r="B86" t="s">
        <v>188</v>
      </c>
      <c r="H86" s="333" t="s">
        <v>623</v>
      </c>
      <c r="I86" s="334">
        <v>255</v>
      </c>
      <c r="K86" s="333" t="s">
        <v>688</v>
      </c>
      <c r="L86" s="197">
        <f>L88+L87</f>
        <v>28627174</v>
      </c>
      <c r="O86" s="333" t="s">
        <v>689</v>
      </c>
      <c r="P86" s="197">
        <f>P88+P87</f>
        <v>28631328</v>
      </c>
    </row>
    <row r="87" spans="1:16">
      <c r="A87">
        <v>2026</v>
      </c>
      <c r="B87" t="s">
        <v>189</v>
      </c>
      <c r="H87" s="333" t="s">
        <v>679</v>
      </c>
      <c r="I87" s="197">
        <f>L86-P86</f>
        <v>-4154</v>
      </c>
      <c r="K87" t="s">
        <v>682</v>
      </c>
      <c r="L87" s="192">
        <v>9922559</v>
      </c>
      <c r="O87" t="s">
        <v>685</v>
      </c>
      <c r="P87" s="192">
        <v>27316328</v>
      </c>
    </row>
    <row r="88" spans="1:16">
      <c r="H88" s="333" t="s">
        <v>680</v>
      </c>
      <c r="I88" s="197">
        <f>C80/I86</f>
        <v>1223802.3176470587</v>
      </c>
      <c r="K88" t="s">
        <v>683</v>
      </c>
      <c r="L88" s="192">
        <v>18704615</v>
      </c>
      <c r="O88" t="s">
        <v>686</v>
      </c>
      <c r="P88" s="192">
        <v>1315000</v>
      </c>
    </row>
    <row r="89" spans="1:16">
      <c r="H89" s="333" t="s">
        <v>681</v>
      </c>
      <c r="I89" s="334">
        <f>L89-P89</f>
        <v>14</v>
      </c>
      <c r="K89" t="s">
        <v>684</v>
      </c>
      <c r="L89">
        <v>23</v>
      </c>
      <c r="O89" t="s">
        <v>687</v>
      </c>
      <c r="P89">
        <v>9</v>
      </c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6889-F783-B046-9DB5-E3EFEEBD63B0}">
  <dimension ref="F3:T26"/>
  <sheetViews>
    <sheetView topLeftCell="D1" workbookViewId="0">
      <selection activeCell="M8" activeCellId="1" sqref="L5 M8"/>
    </sheetView>
  </sheetViews>
  <sheetFormatPr baseColWidth="10" defaultRowHeight="15"/>
  <cols>
    <col min="6" max="6" width="21" bestFit="1" customWidth="1"/>
    <col min="7" max="18" width="16" style="4" bestFit="1" customWidth="1"/>
  </cols>
  <sheetData>
    <row r="3" spans="6:20">
      <c r="F3" s="333" t="s">
        <v>696</v>
      </c>
      <c r="G3" s="334" t="s">
        <v>197</v>
      </c>
      <c r="H3" s="334" t="s">
        <v>202</v>
      </c>
      <c r="I3" s="334" t="s">
        <v>203</v>
      </c>
      <c r="J3" s="334" t="s">
        <v>190</v>
      </c>
      <c r="K3" s="334" t="s">
        <v>204</v>
      </c>
      <c r="L3" s="334" t="s">
        <v>205</v>
      </c>
      <c r="M3" s="334" t="s">
        <v>206</v>
      </c>
      <c r="N3" s="334" t="s">
        <v>207</v>
      </c>
      <c r="O3" s="334" t="s">
        <v>208</v>
      </c>
      <c r="P3" s="334" t="s">
        <v>209</v>
      </c>
      <c r="Q3" s="334" t="s">
        <v>210</v>
      </c>
      <c r="R3" s="334" t="s">
        <v>710</v>
      </c>
    </row>
    <row r="4" spans="6:20">
      <c r="F4" t="s">
        <v>1</v>
      </c>
      <c r="G4" s="184">
        <f>IF(AuM!C76&gt;0,AuM!C76,"")</f>
        <v>290504767</v>
      </c>
      <c r="H4" s="184">
        <f>IF(AuM!C77&gt;0,AuM!C77,"")</f>
        <v>304511145</v>
      </c>
      <c r="I4" s="184">
        <f>IF(AuM!C78&gt;0,AuM!C78,"")</f>
        <v>309415143</v>
      </c>
      <c r="J4" s="184">
        <f>IF(AuM!C79&gt;0,AuM!C79,"")</f>
        <v>311856596</v>
      </c>
      <c r="K4" s="184">
        <f>IF(AuM!C80&gt;0,AuM!C80,"")</f>
        <v>312069591</v>
      </c>
      <c r="L4" s="184">
        <f>IF(AuM!C81&gt;0,AuM!C81,0)</f>
        <v>295791970</v>
      </c>
      <c r="M4" s="184">
        <f>IF(AuM!C82&gt;0,AuM!C82,0)</f>
        <v>254401486</v>
      </c>
      <c r="N4" s="184">
        <f>IF(AuM!C83&gt;0,AuM!C83,0)</f>
        <v>0</v>
      </c>
      <c r="O4" s="184">
        <f>IF(AuM!C84&gt;0,AuM!C84,0)</f>
        <v>0</v>
      </c>
      <c r="P4" s="184">
        <f>IF(AuM!C85&gt;0,AuM!C85,0)</f>
        <v>0</v>
      </c>
      <c r="Q4" s="184">
        <f>IF(AuM!C86&gt;0,AuM!C86,0)</f>
        <v>0</v>
      </c>
      <c r="R4" s="184">
        <f>IF(AuM!C87&gt;0,AuM!C87,0)</f>
        <v>0</v>
      </c>
    </row>
    <row r="5" spans="6:20">
      <c r="F5" t="s">
        <v>623</v>
      </c>
      <c r="G5" s="4">
        <v>247</v>
      </c>
      <c r="H5" s="4">
        <v>251</v>
      </c>
      <c r="I5" s="4">
        <v>254</v>
      </c>
      <c r="J5" s="4">
        <v>257</v>
      </c>
      <c r="K5" s="4">
        <v>255</v>
      </c>
      <c r="L5" s="4">
        <v>222</v>
      </c>
      <c r="M5" s="4">
        <v>184</v>
      </c>
    </row>
    <row r="6" spans="6:20">
      <c r="F6" t="s">
        <v>679</v>
      </c>
      <c r="G6" s="184">
        <f>G9-G13</f>
        <v>-21263977</v>
      </c>
      <c r="H6" s="184">
        <f t="shared" ref="H6:R6" si="0">H9-H13</f>
        <v>13701377</v>
      </c>
      <c r="I6" s="184">
        <f t="shared" si="0"/>
        <v>4903998</v>
      </c>
      <c r="J6" s="184">
        <f t="shared" si="0"/>
        <v>2441453</v>
      </c>
      <c r="K6" s="184">
        <f t="shared" si="0"/>
        <v>212995</v>
      </c>
      <c r="L6" s="184">
        <f>L9-L13</f>
        <v>-15310509</v>
      </c>
      <c r="M6" s="184">
        <f t="shared" si="0"/>
        <v>-34513484</v>
      </c>
      <c r="N6" s="184">
        <f t="shared" si="0"/>
        <v>0</v>
      </c>
      <c r="O6" s="184">
        <f t="shared" si="0"/>
        <v>0</v>
      </c>
      <c r="P6" s="184">
        <f t="shared" si="0"/>
        <v>0</v>
      </c>
      <c r="Q6" s="184">
        <f t="shared" si="0"/>
        <v>0</v>
      </c>
      <c r="R6" s="184">
        <f t="shared" si="0"/>
        <v>0</v>
      </c>
      <c r="T6" s="4"/>
    </row>
    <row r="7" spans="6:20">
      <c r="F7" t="s">
        <v>680</v>
      </c>
      <c r="G7" s="184">
        <f>IF(G4&lt;&gt;0,G4/G5,"")</f>
        <v>1176132.6599190284</v>
      </c>
      <c r="H7" s="184">
        <f t="shared" ref="H7:R7" si="1">IF(H4&lt;&gt;0,H4/H5,"")</f>
        <v>1213191.812749004</v>
      </c>
      <c r="I7" s="184">
        <f t="shared" si="1"/>
        <v>1218169.8543307087</v>
      </c>
      <c r="J7" s="184">
        <f t="shared" si="1"/>
        <v>1213449.7898832685</v>
      </c>
      <c r="K7" s="184">
        <f t="shared" si="1"/>
        <v>1223802.3176470587</v>
      </c>
      <c r="L7" s="184">
        <v>1338425</v>
      </c>
      <c r="M7" s="184">
        <f t="shared" si="1"/>
        <v>1382616.7717391304</v>
      </c>
      <c r="N7" s="184" t="str">
        <f t="shared" si="1"/>
        <v/>
      </c>
      <c r="O7" s="184" t="str">
        <f t="shared" si="1"/>
        <v/>
      </c>
      <c r="P7" s="184" t="str">
        <f t="shared" si="1"/>
        <v/>
      </c>
      <c r="Q7" s="184" t="str">
        <f t="shared" si="1"/>
        <v/>
      </c>
      <c r="R7" s="184" t="str">
        <f t="shared" si="1"/>
        <v/>
      </c>
    </row>
    <row r="8" spans="6:20" ht="16" thickBot="1">
      <c r="F8" s="369" t="s">
        <v>681</v>
      </c>
      <c r="G8" s="370">
        <f>G12-G16</f>
        <v>6</v>
      </c>
      <c r="H8" s="370">
        <f t="shared" ref="H8:R8" si="2">H12-H16</f>
        <v>4</v>
      </c>
      <c r="I8" s="370">
        <f t="shared" si="2"/>
        <v>3</v>
      </c>
      <c r="J8" s="370">
        <f t="shared" si="2"/>
        <v>3</v>
      </c>
      <c r="K8" s="370">
        <f t="shared" si="2"/>
        <v>-2</v>
      </c>
      <c r="L8" s="370">
        <f>L12-L16</f>
        <v>-33</v>
      </c>
      <c r="M8" s="370">
        <f>M12-M16</f>
        <v>-35</v>
      </c>
      <c r="N8" s="370">
        <f t="shared" si="2"/>
        <v>0</v>
      </c>
      <c r="O8" s="370">
        <f t="shared" si="2"/>
        <v>0</v>
      </c>
      <c r="P8" s="370">
        <f t="shared" si="2"/>
        <v>0</v>
      </c>
      <c r="Q8" s="370">
        <f t="shared" si="2"/>
        <v>0</v>
      </c>
      <c r="R8" s="370">
        <f t="shared" si="2"/>
        <v>0</v>
      </c>
    </row>
    <row r="9" spans="6:20" ht="17" thickTop="1" thickBot="1">
      <c r="F9" s="371" t="s">
        <v>688</v>
      </c>
      <c r="G9" s="372">
        <f>G11+G10</f>
        <v>5736023</v>
      </c>
      <c r="H9" s="372">
        <f t="shared" ref="H9:R9" si="3">H11+H10</f>
        <v>13701377</v>
      </c>
      <c r="I9" s="372">
        <f t="shared" si="3"/>
        <v>5520326</v>
      </c>
      <c r="J9" s="372">
        <f t="shared" si="3"/>
        <v>2441453</v>
      </c>
      <c r="K9" s="372">
        <f t="shared" si="3"/>
        <v>1227995</v>
      </c>
      <c r="L9" s="372">
        <f t="shared" si="3"/>
        <v>2314000</v>
      </c>
      <c r="M9" s="372">
        <f t="shared" si="3"/>
        <v>5317000</v>
      </c>
      <c r="N9" s="372">
        <f t="shared" si="3"/>
        <v>0</v>
      </c>
      <c r="O9" s="372">
        <f t="shared" si="3"/>
        <v>0</v>
      </c>
      <c r="P9" s="372">
        <f t="shared" si="3"/>
        <v>0</v>
      </c>
      <c r="Q9" s="372">
        <f t="shared" si="3"/>
        <v>0</v>
      </c>
      <c r="R9" s="372">
        <f t="shared" si="3"/>
        <v>0</v>
      </c>
    </row>
    <row r="10" spans="6:20" ht="16" thickTop="1">
      <c r="F10" t="s">
        <v>682</v>
      </c>
      <c r="G10" s="184">
        <v>5380559</v>
      </c>
      <c r="H10" s="184">
        <v>1250000</v>
      </c>
      <c r="I10" s="184">
        <v>2315000</v>
      </c>
      <c r="J10" s="184">
        <v>977000</v>
      </c>
      <c r="K10" s="184">
        <v>0</v>
      </c>
      <c r="L10" s="184">
        <v>0</v>
      </c>
      <c r="M10" s="184">
        <v>4500000</v>
      </c>
      <c r="N10" s="184"/>
      <c r="O10" s="184"/>
      <c r="P10" s="184"/>
      <c r="Q10" s="184"/>
      <c r="R10" s="184"/>
    </row>
    <row r="11" spans="6:20">
      <c r="F11" t="s">
        <v>683</v>
      </c>
      <c r="G11" s="184">
        <v>355464</v>
      </c>
      <c r="H11" s="184">
        <v>12451377</v>
      </c>
      <c r="I11" s="184">
        <v>3205326</v>
      </c>
      <c r="J11" s="184">
        <v>1464453</v>
      </c>
      <c r="K11" s="184">
        <v>1227995</v>
      </c>
      <c r="L11" s="184">
        <v>2314000</v>
      </c>
      <c r="M11" s="184">
        <v>817000</v>
      </c>
      <c r="N11" s="184"/>
      <c r="O11" s="184"/>
      <c r="P11" s="184"/>
      <c r="Q11" s="184"/>
      <c r="R11" s="184"/>
    </row>
    <row r="12" spans="6:20" ht="16" thickBot="1">
      <c r="F12" s="369" t="s">
        <v>684</v>
      </c>
      <c r="G12" s="370">
        <v>10</v>
      </c>
      <c r="H12" s="370">
        <v>4</v>
      </c>
      <c r="I12" s="370">
        <v>6</v>
      </c>
      <c r="J12" s="370">
        <v>3</v>
      </c>
      <c r="K12" s="370">
        <v>0</v>
      </c>
      <c r="L12" s="370">
        <v>0</v>
      </c>
      <c r="M12" s="370">
        <v>2</v>
      </c>
      <c r="N12" s="370"/>
      <c r="O12" s="370"/>
      <c r="P12" s="370"/>
      <c r="Q12" s="370"/>
      <c r="R12" s="370"/>
    </row>
    <row r="13" spans="6:20" ht="17" thickTop="1" thickBot="1">
      <c r="F13" s="369" t="s">
        <v>689</v>
      </c>
      <c r="G13" s="373">
        <f>G15+G14</f>
        <v>27000000</v>
      </c>
      <c r="H13" s="373">
        <f t="shared" ref="H13:R13" si="4">H15+H14</f>
        <v>0</v>
      </c>
      <c r="I13" s="373">
        <f t="shared" si="4"/>
        <v>616328</v>
      </c>
      <c r="J13" s="373">
        <f t="shared" si="4"/>
        <v>0</v>
      </c>
      <c r="K13" s="373">
        <f t="shared" si="4"/>
        <v>1015000</v>
      </c>
      <c r="L13" s="373">
        <f t="shared" si="4"/>
        <v>17624509</v>
      </c>
      <c r="M13" s="373">
        <f t="shared" si="4"/>
        <v>39830484</v>
      </c>
      <c r="N13" s="373">
        <f t="shared" si="4"/>
        <v>0</v>
      </c>
      <c r="O13" s="373">
        <f t="shared" si="4"/>
        <v>0</v>
      </c>
      <c r="P13" s="373">
        <f t="shared" si="4"/>
        <v>0</v>
      </c>
      <c r="Q13" s="373">
        <f t="shared" si="4"/>
        <v>0</v>
      </c>
      <c r="R13" s="373">
        <f t="shared" si="4"/>
        <v>0</v>
      </c>
    </row>
    <row r="14" spans="6:20" ht="16" thickTop="1">
      <c r="F14" t="s">
        <v>685</v>
      </c>
      <c r="G14" s="184">
        <v>26700000</v>
      </c>
      <c r="H14" s="184">
        <v>0</v>
      </c>
      <c r="I14" s="184">
        <v>616328</v>
      </c>
      <c r="J14" s="184">
        <v>0</v>
      </c>
      <c r="K14" s="184">
        <v>0</v>
      </c>
      <c r="L14" s="184">
        <v>0</v>
      </c>
      <c r="M14" s="184">
        <v>0</v>
      </c>
      <c r="N14" s="184"/>
      <c r="O14" s="184"/>
      <c r="P14" s="184"/>
      <c r="Q14" s="184"/>
      <c r="R14" s="184"/>
    </row>
    <row r="15" spans="6:20">
      <c r="F15" t="s">
        <v>686</v>
      </c>
      <c r="G15" s="184">
        <v>300000</v>
      </c>
      <c r="H15" s="184">
        <v>0</v>
      </c>
      <c r="I15" s="184">
        <v>0</v>
      </c>
      <c r="J15" s="184">
        <v>0</v>
      </c>
      <c r="K15" s="184">
        <v>1015000</v>
      </c>
      <c r="L15" s="184">
        <v>17624509</v>
      </c>
      <c r="M15" s="184">
        <v>39830484</v>
      </c>
      <c r="N15" s="184"/>
      <c r="O15" s="184"/>
      <c r="P15" s="184"/>
      <c r="Q15" s="184"/>
      <c r="R15" s="184"/>
    </row>
    <row r="16" spans="6:20" ht="16" thickBot="1">
      <c r="F16" s="369" t="s">
        <v>687</v>
      </c>
      <c r="G16" s="370">
        <v>4</v>
      </c>
      <c r="H16" s="370">
        <v>0</v>
      </c>
      <c r="I16" s="370">
        <v>3</v>
      </c>
      <c r="J16" s="370">
        <v>0</v>
      </c>
      <c r="K16" s="370">
        <v>2</v>
      </c>
      <c r="L16" s="370">
        <v>33</v>
      </c>
      <c r="M16" s="370">
        <v>37</v>
      </c>
      <c r="N16" s="370"/>
      <c r="O16" s="370"/>
      <c r="P16" s="370"/>
      <c r="Q16" s="370"/>
      <c r="R16" s="370"/>
    </row>
    <row r="17" spans="7:11" ht="16" thickTop="1"/>
    <row r="20" spans="7:11">
      <c r="G20" s="184">
        <f>AuM!C75</f>
        <v>310965744</v>
      </c>
      <c r="H20" s="184">
        <f>G4</f>
        <v>290504767</v>
      </c>
      <c r="I20" s="184">
        <f t="shared" ref="I20:K20" si="5">H4</f>
        <v>304511145</v>
      </c>
      <c r="J20" s="184">
        <f t="shared" si="5"/>
        <v>309415143</v>
      </c>
      <c r="K20" s="184">
        <f t="shared" si="5"/>
        <v>311856596</v>
      </c>
    </row>
    <row r="21" spans="7:11">
      <c r="G21" s="184">
        <f>G20+G6</f>
        <v>289701767</v>
      </c>
      <c r="H21" s="184">
        <f t="shared" ref="H21:K21" si="6">H20+H6</f>
        <v>304206144</v>
      </c>
      <c r="I21" s="184">
        <f t="shared" si="6"/>
        <v>309415143</v>
      </c>
      <c r="J21" s="184">
        <f t="shared" si="6"/>
        <v>311856596</v>
      </c>
      <c r="K21" s="184">
        <f t="shared" si="6"/>
        <v>312069591</v>
      </c>
    </row>
    <row r="22" spans="7:11">
      <c r="G22" s="184">
        <f>G4-G21</f>
        <v>803000</v>
      </c>
      <c r="H22" s="184">
        <f t="shared" ref="H22:K22" si="7">H4-H21</f>
        <v>305001</v>
      </c>
      <c r="I22" s="184">
        <f t="shared" si="7"/>
        <v>0</v>
      </c>
      <c r="J22" s="184">
        <f t="shared" si="7"/>
        <v>0</v>
      </c>
      <c r="K22" s="184">
        <f t="shared" si="7"/>
        <v>0</v>
      </c>
    </row>
    <row r="25" spans="7:11">
      <c r="G25" s="184"/>
    </row>
    <row r="26" spans="7:11">
      <c r="G26" s="184"/>
    </row>
  </sheetData>
  <phoneticPr fontId="43" type="noConversion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E12:AU156"/>
  <sheetViews>
    <sheetView topLeftCell="B45" zoomScaleNormal="100" workbookViewId="0">
      <selection activeCell="O28" sqref="O28"/>
    </sheetView>
  </sheetViews>
  <sheetFormatPr baseColWidth="10" defaultColWidth="10.83203125" defaultRowHeight="16" outlineLevelCol="1"/>
  <cols>
    <col min="1" max="3" width="10.83203125" style="125"/>
    <col min="4" max="4" width="9" style="125" customWidth="1"/>
    <col min="5" max="5" width="14.1640625" style="125" customWidth="1"/>
    <col min="6" max="6" width="10.83203125" style="125"/>
    <col min="7" max="7" width="25.5" style="125" customWidth="1"/>
    <col min="8" max="8" width="39.6640625" style="125" customWidth="1"/>
    <col min="9" max="9" width="17.5" style="125" customWidth="1"/>
    <col min="10" max="10" width="16.5" style="128" customWidth="1"/>
    <col min="11" max="11" width="9.1640625" style="125" customWidth="1"/>
    <col min="12" max="13" width="12.6640625" style="125" customWidth="1" outlineLevel="1"/>
    <col min="14" max="14" width="14" style="125" customWidth="1" outlineLevel="1"/>
    <col min="15" max="15" width="12.83203125" style="125" bestFit="1" customWidth="1" outlineLevel="1"/>
    <col min="16" max="16" width="13" style="125" bestFit="1" customWidth="1" outlineLevel="1"/>
    <col min="17" max="17" width="12.83203125" style="125" bestFit="1" customWidth="1" outlineLevel="1"/>
    <col min="18" max="18" width="16.33203125" style="125" customWidth="1" outlineLevel="1"/>
    <col min="19" max="23" width="11.83203125" style="125" customWidth="1" outlineLevel="1"/>
    <col min="24" max="24" width="10.83203125" style="125"/>
    <col min="25" max="25" width="24.83203125" style="125" customWidth="1"/>
    <col min="26" max="26" width="14.6640625" style="125" customWidth="1"/>
    <col min="27" max="27" width="17.5" style="125" customWidth="1"/>
    <col min="28" max="28" width="14.1640625" style="125" customWidth="1"/>
    <col min="29" max="29" width="16.5" style="125" customWidth="1"/>
    <col min="30" max="30" width="16.33203125" style="125" customWidth="1"/>
    <col min="31" max="32" width="10.83203125" style="125"/>
    <col min="33" max="33" width="17.5" style="125" customWidth="1"/>
    <col min="34" max="34" width="12.83203125" style="125" customWidth="1"/>
    <col min="35" max="16384" width="10.83203125" style="125"/>
  </cols>
  <sheetData>
    <row r="12" spans="5:31" ht="15.75" customHeight="1">
      <c r="G12" s="127"/>
      <c r="H12" s="127"/>
      <c r="I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</row>
    <row r="13" spans="5:31" ht="15.75" customHeight="1">
      <c r="E13" s="126"/>
      <c r="F13" s="185"/>
      <c r="G13" s="129" t="s">
        <v>218</v>
      </c>
      <c r="H13" s="129" t="s">
        <v>6</v>
      </c>
      <c r="I13" s="129"/>
      <c r="J13" s="124" t="s">
        <v>219</v>
      </c>
      <c r="K13" s="129" t="s">
        <v>220</v>
      </c>
      <c r="L13" s="129"/>
      <c r="M13" s="129"/>
      <c r="N13" s="129"/>
      <c r="O13" s="129"/>
      <c r="P13" s="190"/>
      <c r="Q13" s="129"/>
      <c r="R13" s="190">
        <f>Tabela1[[#Totals],[jul./26]]</f>
        <v>279255.04999999976</v>
      </c>
      <c r="S13" s="129"/>
      <c r="T13" s="129"/>
      <c r="U13" s="129"/>
      <c r="V13" s="129"/>
      <c r="W13" s="129"/>
      <c r="Y13" s="130" t="s">
        <v>150</v>
      </c>
      <c r="Z13" s="126"/>
      <c r="AA13" s="126"/>
      <c r="AB13" s="126"/>
      <c r="AC13" s="126"/>
      <c r="AD13" s="126"/>
    </row>
    <row r="14" spans="5:31" ht="15.75" customHeight="1">
      <c r="F14" s="130" t="s">
        <v>221</v>
      </c>
      <c r="G14" s="130" t="s">
        <v>222</v>
      </c>
      <c r="H14" s="130" t="s">
        <v>6</v>
      </c>
      <c r="I14" s="130" t="s">
        <v>223</v>
      </c>
      <c r="J14" s="124" t="s">
        <v>170</v>
      </c>
      <c r="K14" s="131" t="s">
        <v>224</v>
      </c>
      <c r="L14" s="131" t="s">
        <v>388</v>
      </c>
      <c r="M14" s="131" t="s">
        <v>389</v>
      </c>
      <c r="N14" s="131" t="s">
        <v>390</v>
      </c>
      <c r="O14" s="131" t="s">
        <v>391</v>
      </c>
      <c r="P14" s="131" t="s">
        <v>624</v>
      </c>
      <c r="Q14" s="131" t="s">
        <v>625</v>
      </c>
      <c r="R14" s="131" t="s">
        <v>626</v>
      </c>
      <c r="S14" s="131" t="s">
        <v>627</v>
      </c>
      <c r="T14" s="131" t="s">
        <v>628</v>
      </c>
      <c r="U14" s="131" t="s">
        <v>629</v>
      </c>
      <c r="V14" s="131" t="s">
        <v>630</v>
      </c>
      <c r="W14" s="131" t="s">
        <v>631</v>
      </c>
    </row>
    <row r="15" spans="5:31" ht="15.75" customHeight="1">
      <c r="F15" s="125" t="s">
        <v>225</v>
      </c>
      <c r="G15" s="125" t="s">
        <v>225</v>
      </c>
      <c r="H15" s="125" t="s">
        <v>226</v>
      </c>
      <c r="I15" s="125" t="s">
        <v>135</v>
      </c>
      <c r="J15" s="128">
        <f>SUM(Tabela1[[#This Row],[jan./26]:[dez./26]])</f>
        <v>399506.77999999991</v>
      </c>
      <c r="K15" s="15">
        <f>Tabela1[[#This Row],[Coluna1]]/Tabela1[[#Totals],[Coluna1]]</f>
        <v>0.20462790289461863</v>
      </c>
      <c r="L15" s="184">
        <v>50753.71</v>
      </c>
      <c r="M15" s="184">
        <v>56342.5</v>
      </c>
      <c r="N15" s="184">
        <v>57208.41</v>
      </c>
      <c r="O15" s="186">
        <v>57069.25</v>
      </c>
      <c r="P15" s="186">
        <v>57868.47</v>
      </c>
      <c r="Q15" s="186">
        <v>58895.34</v>
      </c>
      <c r="R15" s="186">
        <v>61369.1</v>
      </c>
      <c r="S15" s="186"/>
      <c r="T15" s="186"/>
      <c r="U15" s="186"/>
      <c r="V15" s="186"/>
      <c r="W15" s="186"/>
      <c r="AB15" s="132"/>
      <c r="AC15" s="132"/>
      <c r="AD15" s="128"/>
    </row>
    <row r="16" spans="5:31" ht="15.75" customHeight="1">
      <c r="F16" s="125" t="s">
        <v>225</v>
      </c>
      <c r="G16" s="125" t="s">
        <v>225</v>
      </c>
      <c r="H16" s="125" t="s">
        <v>227</v>
      </c>
      <c r="I16" s="125" t="s">
        <v>151</v>
      </c>
      <c r="J16" s="128">
        <f>SUM(Tabela1[[#This Row],[jan./26]:[dez./26]])</f>
        <v>273234.53000000003</v>
      </c>
      <c r="K16" s="15">
        <f>Tabela1[[#This Row],[Coluna1]]/Tabela1[[#Totals],[Coluna1]]</f>
        <v>0.13995108887087418</v>
      </c>
      <c r="L16" s="184">
        <v>37845.620000000003</v>
      </c>
      <c r="M16" s="184">
        <v>34519.25</v>
      </c>
      <c r="N16" s="184">
        <v>38219.94</v>
      </c>
      <c r="O16" s="186">
        <v>42347.39</v>
      </c>
      <c r="P16" s="186">
        <v>40000.03</v>
      </c>
      <c r="Q16" s="186">
        <v>40456.300000000003</v>
      </c>
      <c r="R16" s="186">
        <v>39846</v>
      </c>
      <c r="S16" s="186"/>
      <c r="T16" s="186"/>
      <c r="U16" s="186"/>
      <c r="V16" s="186"/>
      <c r="W16" s="186"/>
      <c r="Y16" s="133" t="str">
        <f t="array" ref="Y16:Z24">_xlfn.GROUPBY(Receita!$I$15:$I$143,Receita!$J$15:$J$143,_xleta.SUM,,,-2,,)</f>
        <v>Augusto</v>
      </c>
      <c r="Z16" s="126">
        <v>586894.69999999972</v>
      </c>
      <c r="AA16" s="19">
        <f t="shared" ref="AA16:AA24" si="0">Z16/$Z$24</f>
        <v>0.30060824419792398</v>
      </c>
      <c r="AB16" s="126"/>
      <c r="AC16" s="126"/>
      <c r="AD16" s="126"/>
      <c r="AE16" s="126"/>
    </row>
    <row r="17" spans="6:45" ht="15.75" customHeight="1">
      <c r="F17" s="125" t="s">
        <v>225</v>
      </c>
      <c r="G17" s="125" t="s">
        <v>225</v>
      </c>
      <c r="H17" s="125" t="s">
        <v>228</v>
      </c>
      <c r="I17" s="125" t="s">
        <v>134</v>
      </c>
      <c r="J17" s="128">
        <f>SUM(Tabela1[[#This Row],[jan./26]:[dez./26]])</f>
        <v>207490.20999999996</v>
      </c>
      <c r="K17" s="15">
        <f>Tabela1[[#This Row],[Coluna1]]/Tabela1[[#Totals],[Coluna1]]</f>
        <v>0.10627676091871088</v>
      </c>
      <c r="L17" s="184">
        <v>29098.639999999999</v>
      </c>
      <c r="M17" s="184">
        <v>28086.87</v>
      </c>
      <c r="N17" s="184">
        <v>28244.31</v>
      </c>
      <c r="O17" s="186">
        <v>28699.06</v>
      </c>
      <c r="P17" s="186">
        <v>37481.040000000001</v>
      </c>
      <c r="Q17" s="186">
        <v>26681.67</v>
      </c>
      <c r="R17" s="186">
        <v>29198.62</v>
      </c>
      <c r="S17" s="186"/>
      <c r="T17" s="186"/>
      <c r="U17" s="186"/>
      <c r="V17" s="186"/>
      <c r="W17" s="186"/>
      <c r="Y17" s="133" t="str">
        <v>Andaluz</v>
      </c>
      <c r="Z17" s="126">
        <v>349680.02</v>
      </c>
      <c r="AA17" s="19">
        <f t="shared" si="0"/>
        <v>0.1791065702983772</v>
      </c>
      <c r="AB17" s="126"/>
      <c r="AC17" s="126"/>
      <c r="AD17" s="126"/>
      <c r="AE17" s="126"/>
    </row>
    <row r="18" spans="6:45" ht="15.75" customHeight="1">
      <c r="F18" s="125" t="s">
        <v>225</v>
      </c>
      <c r="G18" s="125" t="s">
        <v>225</v>
      </c>
      <c r="H18" s="125" t="s">
        <v>229</v>
      </c>
      <c r="I18" s="125" t="s">
        <v>136</v>
      </c>
      <c r="J18" s="128">
        <f>SUM(Tabela1[[#This Row],[jan./26]:[dez./26]])</f>
        <v>204622.63999999998</v>
      </c>
      <c r="K18" s="15">
        <f>Tabela1[[#This Row],[Coluna1]]/Tabela1[[#Totals],[Coluna1]]</f>
        <v>0.10480798775920777</v>
      </c>
      <c r="L18" s="184">
        <v>29385.47</v>
      </c>
      <c r="M18" s="184">
        <v>29374</v>
      </c>
      <c r="N18" s="184">
        <v>29385.47</v>
      </c>
      <c r="O18" s="186">
        <v>28993.7</v>
      </c>
      <c r="P18" s="186">
        <v>29232.47</v>
      </c>
      <c r="Q18" s="186">
        <v>29237.43</v>
      </c>
      <c r="R18" s="186">
        <v>29014.1</v>
      </c>
      <c r="S18" s="186"/>
      <c r="T18" s="186"/>
      <c r="U18" s="186"/>
      <c r="V18" s="186"/>
      <c r="W18" s="186"/>
      <c r="Y18" s="133" t="str">
        <v>Lamour</v>
      </c>
      <c r="Z18" s="126">
        <v>316972.74999999994</v>
      </c>
      <c r="AA18" s="19">
        <f t="shared" si="0"/>
        <v>0.16235386319911824</v>
      </c>
      <c r="AB18" s="126"/>
      <c r="AC18" s="126"/>
      <c r="AD18" s="126"/>
      <c r="AE18" s="126"/>
    </row>
    <row r="19" spans="6:45" ht="15.75" customHeight="1">
      <c r="F19" s="125" t="s">
        <v>225</v>
      </c>
      <c r="G19" s="125" t="s">
        <v>394</v>
      </c>
      <c r="H19" s="125" t="s">
        <v>394</v>
      </c>
      <c r="I19" s="125" t="s">
        <v>235</v>
      </c>
      <c r="J19" s="128">
        <f>SUM(Tabela1[[#This Row],[jan./26]:[dez./26]])</f>
        <v>176786.4</v>
      </c>
      <c r="K19" s="15">
        <f>Tabela1[[#This Row],[Coluna1]]/Tabela1[[#Totals],[Coluna1]]</f>
        <v>9.0550228690209497E-2</v>
      </c>
      <c r="L19" s="184">
        <v>32368</v>
      </c>
      <c r="M19" s="184">
        <v>0</v>
      </c>
      <c r="N19" s="184">
        <v>0</v>
      </c>
      <c r="O19" s="187">
        <v>0</v>
      </c>
      <c r="P19" s="186">
        <v>32368</v>
      </c>
      <c r="Q19" s="186">
        <v>79682.399999999994</v>
      </c>
      <c r="R19" s="186">
        <v>32368</v>
      </c>
      <c r="S19" s="186"/>
      <c r="T19" s="186"/>
      <c r="U19" s="186"/>
      <c r="V19" s="186"/>
      <c r="W19" s="186"/>
      <c r="Y19" s="133" t="str">
        <v>Gaioso</v>
      </c>
      <c r="Z19" s="126">
        <v>227637.24999999997</v>
      </c>
      <c r="AA19" s="19">
        <f t="shared" si="0"/>
        <v>0.11659610154350329</v>
      </c>
      <c r="AB19" s="126"/>
      <c r="AC19" s="126"/>
      <c r="AD19" s="126"/>
    </row>
    <row r="20" spans="6:45" ht="15.75" customHeight="1">
      <c r="F20" s="125" t="s">
        <v>225</v>
      </c>
      <c r="G20" s="125" t="s">
        <v>225</v>
      </c>
      <c r="H20" s="125" t="s">
        <v>230</v>
      </c>
      <c r="I20" s="125" t="s">
        <v>138</v>
      </c>
      <c r="J20" s="128">
        <f>SUM(Tabela1[[#This Row],[jan./26]:[dez./26]])</f>
        <v>96453.849999999991</v>
      </c>
      <c r="K20" s="15">
        <f>Tabela1[[#This Row],[Coluna1]]/Tabela1[[#Totals],[Coluna1]]</f>
        <v>4.9403789972255571E-2</v>
      </c>
      <c r="L20" s="184">
        <v>13312.09</v>
      </c>
      <c r="M20" s="184">
        <v>14869.96</v>
      </c>
      <c r="N20" s="184">
        <v>16284.9</v>
      </c>
      <c r="O20" s="186">
        <v>18975.32</v>
      </c>
      <c r="P20" s="186">
        <v>15929.8</v>
      </c>
      <c r="Q20" s="186">
        <v>15331.78</v>
      </c>
      <c r="R20" s="186">
        <v>1750</v>
      </c>
      <c r="S20" s="186"/>
      <c r="T20" s="186"/>
      <c r="U20" s="186"/>
      <c r="V20" s="186"/>
      <c r="W20" s="186"/>
      <c r="Y20" s="133" t="str">
        <v>Sidney</v>
      </c>
      <c r="Z20" s="126">
        <v>224492.16999999995</v>
      </c>
      <c r="AA20" s="19">
        <f t="shared" si="0"/>
        <v>0.11498518739372138</v>
      </c>
      <c r="AB20" s="126"/>
      <c r="AC20" s="126"/>
      <c r="AD20" s="126"/>
    </row>
    <row r="21" spans="6:45" ht="15.75" customHeight="1">
      <c r="F21" s="125" t="s">
        <v>225</v>
      </c>
      <c r="G21" s="125" t="s">
        <v>225</v>
      </c>
      <c r="H21" s="125" t="s">
        <v>231</v>
      </c>
      <c r="I21" s="125" t="s">
        <v>232</v>
      </c>
      <c r="J21" s="128">
        <f>SUM(Tabela1[[#This Row],[jan./26]:[dez./26]])</f>
        <v>88110.77</v>
      </c>
      <c r="K21" s="15">
        <f>Tabela1[[#This Row],[Coluna1]]/Tabela1[[#Totals],[Coluna1]]</f>
        <v>4.5130453324296729E-2</v>
      </c>
      <c r="L21" s="184">
        <v>12738.43</v>
      </c>
      <c r="M21" s="184">
        <v>11614.62</v>
      </c>
      <c r="N21" s="184">
        <v>12858.35</v>
      </c>
      <c r="O21" s="186">
        <v>12990.19</v>
      </c>
      <c r="P21" s="186">
        <v>12990.19</v>
      </c>
      <c r="Q21" s="186">
        <v>12390.19</v>
      </c>
      <c r="R21" s="186">
        <v>12528.8</v>
      </c>
      <c r="S21" s="186"/>
      <c r="T21" s="186"/>
      <c r="U21" s="186"/>
      <c r="V21" s="186"/>
      <c r="W21" s="186"/>
      <c r="Y21" s="133" t="str">
        <v>Pedro</v>
      </c>
      <c r="Z21" s="126">
        <v>138255.40999999997</v>
      </c>
      <c r="AA21" s="19">
        <f t="shared" si="0"/>
        <v>7.0814604478391302E-2</v>
      </c>
      <c r="AB21" s="126"/>
      <c r="AC21" s="126"/>
      <c r="AD21" s="126"/>
    </row>
    <row r="22" spans="6:45" ht="15.75" customHeight="1">
      <c r="F22" s="125" t="s">
        <v>225</v>
      </c>
      <c r="G22" s="125" t="s">
        <v>394</v>
      </c>
      <c r="H22" s="125" t="s">
        <v>393</v>
      </c>
      <c r="I22" s="125" t="s">
        <v>235</v>
      </c>
      <c r="J22" s="128">
        <f>SUM(Tabela1[[#This Row],[jan./26]:[dez./26]])</f>
        <v>64736</v>
      </c>
      <c r="K22" s="15">
        <f>Tabela1[[#This Row],[Coluna1]]/Tabela1[[#Totals],[Coluna1]]</f>
        <v>3.3157865110039021E-2</v>
      </c>
      <c r="L22" s="184">
        <v>0</v>
      </c>
      <c r="M22" s="184">
        <v>0</v>
      </c>
      <c r="N22" s="184">
        <v>32368</v>
      </c>
      <c r="O22" s="186">
        <v>32368</v>
      </c>
      <c r="P22" s="186"/>
      <c r="Q22" s="186"/>
      <c r="R22" s="186"/>
      <c r="S22" s="186"/>
      <c r="T22" s="186"/>
      <c r="U22" s="186"/>
      <c r="V22" s="186"/>
      <c r="W22" s="186"/>
      <c r="Y22" s="133" t="str">
        <v>Cristiano</v>
      </c>
      <c r="Z22" s="126">
        <v>101836.27</v>
      </c>
      <c r="AA22" s="19">
        <f t="shared" si="0"/>
        <v>5.2160672639173157E-2</v>
      </c>
      <c r="AB22" s="126"/>
      <c r="AC22" s="126"/>
      <c r="AD22" s="126"/>
    </row>
    <row r="23" spans="6:45" ht="15.75" customHeight="1">
      <c r="F23" s="125" t="s">
        <v>225</v>
      </c>
      <c r="G23" s="125" t="s">
        <v>234</v>
      </c>
      <c r="H23" s="125" t="s">
        <v>395</v>
      </c>
      <c r="I23" s="125" t="s">
        <v>235</v>
      </c>
      <c r="J23" s="128">
        <f>SUM(Tabela1[[#This Row],[jan./26]:[dez./26]])</f>
        <v>61392.020000000004</v>
      </c>
      <c r="K23" s="15">
        <f>Tabela1[[#This Row],[Coluna1]]/Tabela1[[#Totals],[Coluna1]]</f>
        <v>3.1445074116300327E-2</v>
      </c>
      <c r="L23" s="184">
        <v>26487.74</v>
      </c>
      <c r="M23" s="184">
        <v>0</v>
      </c>
      <c r="N23" s="184">
        <v>0</v>
      </c>
      <c r="O23" s="186">
        <v>28965.11</v>
      </c>
      <c r="P23" s="186"/>
      <c r="Q23" s="186">
        <v>5939.17</v>
      </c>
      <c r="R23" s="186"/>
      <c r="S23" s="186"/>
      <c r="T23" s="186"/>
      <c r="U23" s="186"/>
      <c r="V23" s="186"/>
      <c r="W23" s="186"/>
      <c r="Y23" s="133" t="str">
        <v>Bruno</v>
      </c>
      <c r="Z23" s="126">
        <v>6588.73</v>
      </c>
      <c r="AA23" s="19">
        <f t="shared" si="0"/>
        <v>3.3747562497909566E-3</v>
      </c>
      <c r="AB23" s="126"/>
      <c r="AC23" s="126"/>
      <c r="AD23" s="126"/>
    </row>
    <row r="24" spans="6:45" ht="15.75" customHeight="1">
      <c r="F24" s="125" t="s">
        <v>225</v>
      </c>
      <c r="G24" s="125" t="s">
        <v>236</v>
      </c>
      <c r="H24" s="125" t="s">
        <v>238</v>
      </c>
      <c r="I24" s="125" t="s">
        <v>135</v>
      </c>
      <c r="J24" s="128">
        <f>SUM(Tabela1[[#This Row],[jan./26]:[dez./26]])</f>
        <v>26780</v>
      </c>
      <c r="K24" s="15">
        <f>Tabela1[[#This Row],[Coluna1]]/Tabela1[[#Totals],[Coluna1]]</f>
        <v>1.3716751539280229E-2</v>
      </c>
      <c r="L24" s="184">
        <v>4200</v>
      </c>
      <c r="M24" s="184">
        <v>6720</v>
      </c>
      <c r="N24" s="184">
        <v>2000</v>
      </c>
      <c r="O24" s="186">
        <v>3780</v>
      </c>
      <c r="P24" s="186">
        <v>3360</v>
      </c>
      <c r="Q24" s="186"/>
      <c r="R24" s="186">
        <v>6720</v>
      </c>
      <c r="S24" s="186"/>
      <c r="T24" s="186"/>
      <c r="U24" s="186"/>
      <c r="V24" s="186"/>
      <c r="W24" s="186"/>
      <c r="Y24" s="133" t="str">
        <v>Total</v>
      </c>
      <c r="Z24" s="126">
        <v>1952357.3000000005</v>
      </c>
      <c r="AA24" s="19">
        <f t="shared" si="0"/>
        <v>1</v>
      </c>
      <c r="AB24" s="126"/>
      <c r="AC24" s="126"/>
      <c r="AD24" s="126"/>
    </row>
    <row r="25" spans="6:45" ht="15.75" customHeight="1">
      <c r="F25" s="125" t="s">
        <v>225</v>
      </c>
      <c r="G25" s="125" t="s">
        <v>236</v>
      </c>
      <c r="H25" s="125" t="s">
        <v>396</v>
      </c>
      <c r="I25" s="125" t="s">
        <v>151</v>
      </c>
      <c r="J25" s="128">
        <f>SUM(Tabela1[[#This Row],[jan./26]:[dez./26]])</f>
        <v>21400</v>
      </c>
      <c r="K25" s="15">
        <f>Tabela1[[#This Row],[Coluna1]]/Tabela1[[#Totals],[Coluna1]]</f>
        <v>1.0961108399574194E-2</v>
      </c>
      <c r="L25" s="184">
        <v>10500</v>
      </c>
      <c r="M25" s="184">
        <v>2100</v>
      </c>
      <c r="N25" s="184">
        <v>0</v>
      </c>
      <c r="O25" s="186">
        <v>2300</v>
      </c>
      <c r="P25" s="186">
        <v>2300</v>
      </c>
      <c r="Q25" s="186"/>
      <c r="R25" s="186">
        <v>4200</v>
      </c>
      <c r="S25" s="186"/>
      <c r="T25" s="186"/>
      <c r="U25" s="186"/>
      <c r="V25" s="186"/>
      <c r="W25" s="186"/>
      <c r="Y25" s="133"/>
      <c r="Z25" s="126"/>
      <c r="AA25" s="19"/>
      <c r="AB25" s="126"/>
      <c r="AC25" s="126"/>
      <c r="AD25" s="126"/>
    </row>
    <row r="26" spans="6:45" ht="15.75" customHeight="1">
      <c r="F26" s="125" t="s">
        <v>225</v>
      </c>
      <c r="G26" s="125" t="s">
        <v>236</v>
      </c>
      <c r="H26" s="125" t="s">
        <v>237</v>
      </c>
      <c r="I26" s="125" t="s">
        <v>138</v>
      </c>
      <c r="J26" s="128">
        <f>SUM(Tabela1[[#This Row],[jan./26]:[dez./26]])</f>
        <v>15330</v>
      </c>
      <c r="K26" s="15">
        <f>Tabela1[[#This Row],[Coluna1]]/Tabela1[[#Totals],[Coluna1]]</f>
        <v>7.8520463441809525E-3</v>
      </c>
      <c r="L26" s="184">
        <v>0</v>
      </c>
      <c r="M26" s="184">
        <v>7350</v>
      </c>
      <c r="N26" s="184">
        <v>7980</v>
      </c>
      <c r="O26" s="186">
        <v>0</v>
      </c>
      <c r="P26" s="186"/>
      <c r="Q26" s="186"/>
      <c r="R26" s="186"/>
      <c r="S26" s="186"/>
      <c r="T26" s="186"/>
      <c r="U26" s="186"/>
      <c r="V26" s="186"/>
      <c r="W26" s="186"/>
      <c r="Y26" s="130"/>
      <c r="Z26" s="126"/>
      <c r="AB26" s="126"/>
      <c r="AC26" s="126"/>
      <c r="AD26" s="126"/>
    </row>
    <row r="27" spans="6:45" ht="16.5" customHeight="1">
      <c r="F27" s="125" t="s">
        <v>225</v>
      </c>
      <c r="G27" s="125" t="s">
        <v>397</v>
      </c>
      <c r="H27" s="125" t="s">
        <v>398</v>
      </c>
      <c r="I27" s="125" t="s">
        <v>235</v>
      </c>
      <c r="J27" s="128">
        <f>SUM(Tabela1[[#This Row],[jan./26]:[dez./26]])</f>
        <v>12274.510000000002</v>
      </c>
      <c r="K27" s="15">
        <f>Tabela1[[#This Row],[Coluna1]]/Tabela1[[#Totals],[Coluna1]]</f>
        <v>6.287020311292405E-3</v>
      </c>
      <c r="L27" s="184">
        <v>1000.33</v>
      </c>
      <c r="M27" s="184">
        <v>1168.47</v>
      </c>
      <c r="N27" s="184">
        <v>1870.76</v>
      </c>
      <c r="O27" s="186">
        <v>1580.63</v>
      </c>
      <c r="P27" s="186">
        <v>2314.86</v>
      </c>
      <c r="Q27" s="186">
        <v>1815.28</v>
      </c>
      <c r="R27" s="186">
        <v>2524.1799999999998</v>
      </c>
      <c r="S27" s="186"/>
      <c r="T27" s="186"/>
      <c r="U27" s="186"/>
      <c r="V27" s="186"/>
      <c r="W27" s="186"/>
    </row>
    <row r="28" spans="6:45" ht="16.5" customHeight="1">
      <c r="F28" s="125" t="s">
        <v>225</v>
      </c>
      <c r="G28" s="125" t="s">
        <v>324</v>
      </c>
      <c r="H28" s="125" t="s">
        <v>401</v>
      </c>
      <c r="I28" s="125" t="s">
        <v>235</v>
      </c>
      <c r="J28" s="128">
        <f>SUM(Tabela1[[#This Row],[jan./26]:[dez./26]])</f>
        <v>9030.3700000000008</v>
      </c>
      <c r="K28" s="15">
        <f>Tabela1[[#This Row],[Coluna1]]/Tabela1[[#Totals],[Coluna1]]</f>
        <v>4.6253674980496649E-3</v>
      </c>
      <c r="L28" s="184">
        <v>8702.25</v>
      </c>
      <c r="M28" s="184">
        <v>0.01</v>
      </c>
      <c r="N28" s="184">
        <v>328.11</v>
      </c>
      <c r="O28" s="186">
        <v>0</v>
      </c>
      <c r="P28" s="186"/>
      <c r="Q28" s="186"/>
      <c r="R28" s="186"/>
      <c r="S28" s="186"/>
      <c r="T28" s="186"/>
      <c r="U28" s="186"/>
      <c r="V28" s="186"/>
      <c r="W28" s="186"/>
      <c r="AA28" s="126"/>
      <c r="AS28" s="134">
        <v>0.69299999999999995</v>
      </c>
    </row>
    <row r="29" spans="6:45" ht="18" customHeight="1">
      <c r="F29" s="125" t="s">
        <v>225</v>
      </c>
      <c r="G29" s="125" t="s">
        <v>234</v>
      </c>
      <c r="H29" s="125" t="s">
        <v>393</v>
      </c>
      <c r="I29" s="125" t="s">
        <v>235</v>
      </c>
      <c r="J29" s="128">
        <f>SUM(Tabela1[[#This Row],[jan./26]:[dez./26]])</f>
        <v>5939.17</v>
      </c>
      <c r="K29" s="15">
        <f>Tabela1[[#This Row],[Coluna1]]/Tabela1[[#Totals],[Coluna1]]</f>
        <v>3.0420507557709846E-3</v>
      </c>
      <c r="L29" s="184">
        <v>0</v>
      </c>
      <c r="M29" s="184">
        <v>5939.17</v>
      </c>
      <c r="N29" s="184">
        <v>0</v>
      </c>
      <c r="O29" s="186">
        <v>0</v>
      </c>
      <c r="P29" s="186"/>
      <c r="Q29" s="186"/>
      <c r="R29" s="186"/>
      <c r="S29" s="186"/>
      <c r="T29" s="186"/>
      <c r="U29" s="186"/>
      <c r="V29" s="186"/>
      <c r="W29" s="186"/>
      <c r="Y29" s="129" t="s">
        <v>218</v>
      </c>
      <c r="Z29" s="135" t="s">
        <v>155</v>
      </c>
      <c r="AA29" s="124" t="s">
        <v>244</v>
      </c>
      <c r="AB29" s="111"/>
      <c r="AD29" s="126"/>
      <c r="AS29" s="136">
        <v>8.7999999999999995E-2</v>
      </c>
    </row>
    <row r="30" spans="6:45" ht="16.5" customHeight="1">
      <c r="F30" s="125" t="s">
        <v>225</v>
      </c>
      <c r="G30" s="125" t="s">
        <v>225</v>
      </c>
      <c r="H30" s="125" t="s">
        <v>392</v>
      </c>
      <c r="I30" s="125" t="s">
        <v>140</v>
      </c>
      <c r="J30" s="128">
        <f>SUM(Tabela1[[#This Row],[jan./26]:[dez./26]])</f>
        <v>5250</v>
      </c>
      <c r="K30" s="15">
        <f>Tabela1[[#This Row],[Coluna1]]/Tabela1[[#Totals],[Coluna1]]</f>
        <v>2.6890569671852577E-3</v>
      </c>
      <c r="L30" s="184">
        <v>750</v>
      </c>
      <c r="M30" s="184">
        <v>750</v>
      </c>
      <c r="N30" s="184">
        <v>750</v>
      </c>
      <c r="O30" s="186">
        <v>750</v>
      </c>
      <c r="P30" s="186">
        <v>750</v>
      </c>
      <c r="Q30" s="186">
        <v>750</v>
      </c>
      <c r="R30" s="186">
        <v>750</v>
      </c>
      <c r="S30" s="186"/>
      <c r="T30" s="186"/>
      <c r="U30" s="186"/>
      <c r="V30" s="186"/>
      <c r="W30" s="186"/>
      <c r="Y30" s="188" t="s">
        <v>225</v>
      </c>
      <c r="Z30" s="19">
        <f>Tabela5[[#This Row],[R$]]/Tabela5[[#Totals],[R$]]</f>
        <v>0.65353979140664609</v>
      </c>
      <c r="AA30" s="3">
        <f>SUMIF($G$15:$G$143,Y30,$J$15:$J$143)</f>
        <v>1274668.78</v>
      </c>
      <c r="AC30" s="130" t="s">
        <v>225</v>
      </c>
      <c r="AD30" s="19">
        <f>Tabela5[[#This Row],[%]]</f>
        <v>0.65353979140664609</v>
      </c>
      <c r="AS30" s="137">
        <v>6.6000000000000003E-2</v>
      </c>
    </row>
    <row r="31" spans="6:45" ht="16.5" customHeight="1">
      <c r="F31" s="125" t="s">
        <v>225</v>
      </c>
      <c r="G31" s="125" t="s">
        <v>236</v>
      </c>
      <c r="H31" t="s">
        <v>736</v>
      </c>
      <c r="I31" s="125" t="s">
        <v>232</v>
      </c>
      <c r="J31" s="128">
        <f>SUM(Tabela1[[#This Row],[jan./26]:[dez./26]])</f>
        <v>3990</v>
      </c>
      <c r="K31" s="15">
        <f>Tabela1[[#This Row],[Coluna1]]/Tabela1[[#Totals],[Coluna1]]</f>
        <v>2.0436832950607958E-3</v>
      </c>
      <c r="L31" s="184"/>
      <c r="M31" s="184"/>
      <c r="N31" s="184"/>
      <c r="O31" s="186"/>
      <c r="P31" s="186"/>
      <c r="Q31" s="186"/>
      <c r="R31" s="186">
        <v>3990</v>
      </c>
      <c r="S31" s="186"/>
      <c r="T31" s="186"/>
      <c r="U31" s="186"/>
      <c r="V31" s="186"/>
      <c r="W31" s="186"/>
      <c r="Y31" s="188" t="s">
        <v>394</v>
      </c>
      <c r="Z31" s="19">
        <f>Tabela5[[#This Row],[R$]]/Tabela5[[#Totals],[R$]]</f>
        <v>0.12383177606031312</v>
      </c>
      <c r="AA31" s="3">
        <f>SUMIF($G$15:$G$143,Y31,$J$15:$J$143)</f>
        <v>241522.4</v>
      </c>
      <c r="AC31" s="130" t="s">
        <v>445</v>
      </c>
      <c r="AD31" s="19">
        <f>Tabela5[[#This Row],[%]]+Z33</f>
        <v>0.15835338085537309</v>
      </c>
      <c r="AS31" s="138">
        <v>4.7E-2</v>
      </c>
    </row>
    <row r="32" spans="6:45" ht="16.5" customHeight="1">
      <c r="F32" s="125" t="s">
        <v>225</v>
      </c>
      <c r="G32" s="125" t="s">
        <v>236</v>
      </c>
      <c r="H32" t="s">
        <v>737</v>
      </c>
      <c r="I32" s="125" t="s">
        <v>134</v>
      </c>
      <c r="J32" s="128">
        <f>SUM(Tabela1[[#This Row],[jan./26]:[dez./26]])</f>
        <v>3360</v>
      </c>
      <c r="K32" s="132">
        <f>Tabela1[[#This Row],[Coluna1]]/Tabela1[[#Totals],[Coluna1]]</f>
        <v>1.7209964589985651E-3</v>
      </c>
      <c r="L32" s="187"/>
      <c r="M32" s="187"/>
      <c r="N32" s="187"/>
      <c r="O32" s="186"/>
      <c r="P32" s="186"/>
      <c r="Q32" s="186"/>
      <c r="R32" s="186">
        <v>3360</v>
      </c>
      <c r="S32" s="186"/>
      <c r="T32" s="186"/>
      <c r="U32" s="186"/>
      <c r="V32" s="186"/>
      <c r="W32" s="186"/>
      <c r="Y32" s="188" t="s">
        <v>245</v>
      </c>
      <c r="Z32" s="19">
        <f>Tabela5[[#This Row],[R$]]/Tabela5[[#Totals],[R$]]</f>
        <v>5.6014156632822297E-2</v>
      </c>
      <c r="AA32" s="3">
        <f>SUMIF($G$15:$G$143,Y32,$J$15:$J$143)</f>
        <v>109250.42000000004</v>
      </c>
      <c r="AC32" s="130" t="s">
        <v>249</v>
      </c>
      <c r="AD32" s="19">
        <f>Tabela5[[#This Row],[%]]</f>
        <v>5.6014156632822297E-2</v>
      </c>
      <c r="AS32" s="137">
        <v>0.04</v>
      </c>
    </row>
    <row r="33" spans="6:47" ht="16.5" customHeight="1">
      <c r="F33" s="125" t="s">
        <v>225</v>
      </c>
      <c r="G33" s="125" t="s">
        <v>239</v>
      </c>
      <c r="H33" s="125" t="s">
        <v>240</v>
      </c>
      <c r="I33" s="125" t="s">
        <v>135</v>
      </c>
      <c r="J33" s="128">
        <f>SUM(Tabela1[[#This Row],[jan./26]:[dez./26]])</f>
        <v>1350</v>
      </c>
      <c r="K33" s="15">
        <f>Tabela1[[#This Row],[Coluna1]]/Tabela1[[#Totals],[Coluna1]]</f>
        <v>6.9147179156192346E-4</v>
      </c>
      <c r="L33" s="184">
        <v>0</v>
      </c>
      <c r="M33" s="184">
        <v>750</v>
      </c>
      <c r="N33" s="184">
        <v>600</v>
      </c>
      <c r="O33" s="186">
        <v>0</v>
      </c>
      <c r="P33" s="186"/>
      <c r="Q33" s="186"/>
      <c r="R33" s="186"/>
      <c r="S33" s="186"/>
      <c r="T33" s="186"/>
      <c r="U33" s="186"/>
      <c r="V33" s="186"/>
      <c r="W33" s="186"/>
      <c r="Y33" s="188" t="s">
        <v>234</v>
      </c>
      <c r="Z33" s="19">
        <f>Tabela5[[#This Row],[R$]]/Tabela5[[#Totals],[R$]]</f>
        <v>3.4521604795059981E-2</v>
      </c>
      <c r="AA33" s="3">
        <f>SUMIF($G$15:$G$143,Y33,$J$15:$J$143)</f>
        <v>67331.19</v>
      </c>
      <c r="AC33" s="130" t="str">
        <f>Y34</f>
        <v>Consórcio</v>
      </c>
      <c r="AD33" s="19">
        <f>Z34</f>
        <v>3.5685694982786412E-2</v>
      </c>
      <c r="AS33" s="138">
        <v>2.4E-2</v>
      </c>
      <c r="AU33" s="139">
        <f>SUM(AS28:AS39)</f>
        <v>1</v>
      </c>
    </row>
    <row r="34" spans="6:47" ht="16.5" customHeight="1">
      <c r="F34" s="125" t="s">
        <v>225</v>
      </c>
      <c r="G34" s="125" t="s">
        <v>239</v>
      </c>
      <c r="H34" s="125" t="s">
        <v>400</v>
      </c>
      <c r="I34" s="125" t="s">
        <v>134</v>
      </c>
      <c r="J34" s="128">
        <f>SUM(Tabela1[[#This Row],[jan./26]:[dez./26]])</f>
        <v>1200</v>
      </c>
      <c r="K34" s="15">
        <f>Tabela1[[#This Row],[Coluna1]]/Tabela1[[#Totals],[Coluna1]]</f>
        <v>6.1464159249948749E-4</v>
      </c>
      <c r="L34" s="184">
        <v>0</v>
      </c>
      <c r="M34" s="184">
        <v>0</v>
      </c>
      <c r="N34" s="184">
        <v>0</v>
      </c>
      <c r="O34" s="186">
        <v>1200</v>
      </c>
      <c r="P34" s="186"/>
      <c r="Q34" s="186"/>
      <c r="R34" s="186"/>
      <c r="S34" s="186"/>
      <c r="T34" s="186"/>
      <c r="U34" s="186"/>
      <c r="V34" s="186"/>
      <c r="W34" s="186"/>
      <c r="Y34" s="188" t="s">
        <v>24</v>
      </c>
      <c r="Z34" s="19">
        <f>Tabela5[[#This Row],[R$]]/Tabela5[[#Totals],[R$]]</f>
        <v>3.5685694982786412E-2</v>
      </c>
      <c r="AA34" s="3">
        <f>SUMIF($G$15:$G$143,Y34,$J$15:$J$143)</f>
        <v>69601.64</v>
      </c>
      <c r="AC34" s="130" t="str">
        <f t="shared" ref="AC34:AC35" si="1">Y35</f>
        <v>Planejamento</v>
      </c>
      <c r="AD34" s="19">
        <f>Z35</f>
        <v>3.6330873043799616E-2</v>
      </c>
      <c r="AS34" s="137">
        <v>1.9E-2</v>
      </c>
    </row>
    <row r="35" spans="6:47" ht="16.5" customHeight="1">
      <c r="F35" s="125" t="s">
        <v>225</v>
      </c>
      <c r="G35" s="125" t="s">
        <v>239</v>
      </c>
      <c r="H35" s="125" t="s">
        <v>241</v>
      </c>
      <c r="I35" s="125" t="s">
        <v>138</v>
      </c>
      <c r="J35" s="128">
        <f>SUM(Tabela1[[#This Row],[jan./26]:[dez./26]])</f>
        <v>375</v>
      </c>
      <c r="K35" s="15">
        <f>Tabela1[[#This Row],[Coluna1]]/Tabela1[[#Totals],[Coluna1]]</f>
        <v>1.9207549765608986E-4</v>
      </c>
      <c r="L35" s="184">
        <v>375</v>
      </c>
      <c r="M35" s="184">
        <v>0</v>
      </c>
      <c r="N35" s="184">
        <v>0</v>
      </c>
      <c r="O35" s="186">
        <v>0</v>
      </c>
      <c r="P35" s="186"/>
      <c r="Q35" s="186"/>
      <c r="R35" s="186"/>
      <c r="S35" s="186"/>
      <c r="T35" s="186"/>
      <c r="U35" s="186"/>
      <c r="V35" s="186"/>
      <c r="W35" s="186"/>
      <c r="Y35" s="188" t="s">
        <v>236</v>
      </c>
      <c r="Z35" s="19">
        <f>Tabela5[[#This Row],[R$]]/Tabela5[[#Totals],[R$]]</f>
        <v>3.6330873043799616E-2</v>
      </c>
      <c r="AA35" s="3">
        <f>SUMIF($G$15:$G$143,Y35,$J$15:$J$143)</f>
        <v>70860</v>
      </c>
      <c r="AC35" s="130" t="str">
        <f t="shared" si="1"/>
        <v>Previdência</v>
      </c>
      <c r="AD35" s="19">
        <f>Z36</f>
        <v>1.5129609082164529E-2</v>
      </c>
      <c r="AS35" s="138">
        <v>1.2E-2</v>
      </c>
    </row>
    <row r="36" spans="6:47" ht="16.5" customHeight="1">
      <c r="F36" s="125" t="s">
        <v>225</v>
      </c>
      <c r="G36" s="125" t="s">
        <v>326</v>
      </c>
      <c r="H36" s="125" t="s">
        <v>401</v>
      </c>
      <c r="I36" s="125" t="s">
        <v>235</v>
      </c>
      <c r="J36" s="128">
        <f>SUM(Tabela1[[#This Row],[jan./26]:[dez./26]])</f>
        <v>261.61</v>
      </c>
      <c r="K36" s="15">
        <f>Tabela1[[#This Row],[Coluna1]]/Tabela1[[#Totals],[Coluna1]]</f>
        <v>1.3399698917815911E-4</v>
      </c>
      <c r="L36" s="184">
        <v>200.7</v>
      </c>
      <c r="M36" s="184">
        <v>0</v>
      </c>
      <c r="N36" s="184">
        <v>0</v>
      </c>
      <c r="O36" s="186">
        <v>0</v>
      </c>
      <c r="P36" s="186">
        <v>60.91</v>
      </c>
      <c r="Q36" s="186"/>
      <c r="R36" s="186"/>
      <c r="S36" s="186"/>
      <c r="T36" s="186"/>
      <c r="U36" s="186"/>
      <c r="V36" s="186"/>
      <c r="W36" s="186"/>
      <c r="Y36" s="188" t="s">
        <v>561</v>
      </c>
      <c r="Z36" s="19">
        <f>Tabela5[[#This Row],[R$]]/Tabela5[[#Totals],[R$]]</f>
        <v>1.5129609082164529E-2</v>
      </c>
      <c r="AA36" s="3">
        <f>SUMIF($G$15:$G$143,Y36,$J$15:$J$143)</f>
        <v>29508.9</v>
      </c>
      <c r="AC36" s="130" t="s">
        <v>253</v>
      </c>
      <c r="AD36" s="19">
        <f>SUM(Z37:Z53)</f>
        <v>4.4946493996407828E-2</v>
      </c>
      <c r="AS36" s="137">
        <v>5.0000000000000001E-3</v>
      </c>
    </row>
    <row r="37" spans="6:47" ht="16.5" customHeight="1">
      <c r="F37" s="125" t="s">
        <v>225</v>
      </c>
      <c r="G37" s="125" t="s">
        <v>397</v>
      </c>
      <c r="H37" s="125" t="s">
        <v>399</v>
      </c>
      <c r="I37" s="125" t="s">
        <v>235</v>
      </c>
      <c r="J37" s="128">
        <f>SUM(Tabela1[[#This Row],[jan./26]:[dez./26]])</f>
        <v>28.090000000000003</v>
      </c>
      <c r="K37" s="15">
        <f>Tabela1[[#This Row],[Coluna1]]/Tabela1[[#Totals],[Coluna1]]</f>
        <v>1.4387735277758839E-5</v>
      </c>
      <c r="L37" s="184">
        <v>1.48</v>
      </c>
      <c r="M37" s="184">
        <v>1.37</v>
      </c>
      <c r="N37" s="184">
        <v>2.7</v>
      </c>
      <c r="O37" s="186">
        <v>4.6500000000000004</v>
      </c>
      <c r="P37" s="186">
        <v>2.4300000000000002</v>
      </c>
      <c r="Q37" s="186">
        <v>7.15</v>
      </c>
      <c r="R37" s="186">
        <v>8.31</v>
      </c>
      <c r="S37" s="186"/>
      <c r="T37" s="186"/>
      <c r="U37" s="186"/>
      <c r="V37" s="186"/>
      <c r="W37" s="186"/>
      <c r="Y37" s="188" t="s">
        <v>243</v>
      </c>
      <c r="Z37" s="19">
        <f>Tabela5[[#This Row],[R$]]/Tabela5[[#Totals],[R$]]</f>
        <v>1.386947228919826E-2</v>
      </c>
      <c r="AA37" s="3">
        <f>SUMIF($G$15:$G$143,Y37,$J$15:$J$143)</f>
        <v>27051.120000000003</v>
      </c>
      <c r="AD37" s="140"/>
      <c r="AS37" s="138">
        <v>3.0000000000000001E-3</v>
      </c>
    </row>
    <row r="38" spans="6:47" ht="16.5" customHeight="1">
      <c r="F38" s="125" t="s">
        <v>225</v>
      </c>
      <c r="G38" s="125" t="s">
        <v>444</v>
      </c>
      <c r="H38" s="125" t="s">
        <v>367</v>
      </c>
      <c r="I38" s="125" t="s">
        <v>235</v>
      </c>
      <c r="J38" s="128">
        <f>SUM(Tabela1[[#This Row],[jan./26]:[dez./26]])</f>
        <v>14.57</v>
      </c>
      <c r="K38" s="15">
        <f>Tabela1[[#This Row],[Coluna1]]/Tabela1[[#Totals],[Coluna1]]</f>
        <v>7.4627733355979446E-6</v>
      </c>
      <c r="L38" s="184">
        <v>8.6300000000000008</v>
      </c>
      <c r="M38" s="184">
        <v>1.89</v>
      </c>
      <c r="N38" s="184">
        <v>0.6</v>
      </c>
      <c r="O38" s="186">
        <v>3.45</v>
      </c>
      <c r="P38" s="186"/>
      <c r="Q38" s="186"/>
      <c r="R38" s="186"/>
      <c r="S38" s="186"/>
      <c r="T38" s="186"/>
      <c r="U38" s="186"/>
      <c r="V38" s="186"/>
      <c r="W38" s="186"/>
      <c r="Y38" s="188" t="s">
        <v>324</v>
      </c>
      <c r="Z38" s="19">
        <f>Tabela5[[#This Row],[R$]]/Tabela5[[#Totals],[R$]]</f>
        <v>6.5986832596453054E-3</v>
      </c>
      <c r="AA38" s="3">
        <f>SUMIF($G$15:$G$143,Y38,$J$15:$J$143)</f>
        <v>12870.12</v>
      </c>
      <c r="AD38" s="140"/>
      <c r="AS38" s="137">
        <v>2E-3</v>
      </c>
    </row>
    <row r="39" spans="6:47" ht="16.5" customHeight="1">
      <c r="F39" s="125" t="s">
        <v>242</v>
      </c>
      <c r="G39" s="125" t="s">
        <v>24</v>
      </c>
      <c r="H39" s="125" t="s">
        <v>402</v>
      </c>
      <c r="I39" s="125" t="s">
        <v>135</v>
      </c>
      <c r="J39" s="128">
        <f>SUM(Tabela1[[#This Row],[jan./26]:[dez./26]])</f>
        <v>69601.64</v>
      </c>
      <c r="K39" s="15">
        <f>Tabela1[[#This Row],[Coluna1]]/Tabela1[[#Totals],[Coluna1]]</f>
        <v>3.5650052375146693E-2</v>
      </c>
      <c r="L39" s="184">
        <v>10544.56</v>
      </c>
      <c r="M39" s="184">
        <v>10544.56</v>
      </c>
      <c r="N39" s="184">
        <v>10544.56</v>
      </c>
      <c r="O39" s="186">
        <v>10544.56</v>
      </c>
      <c r="P39" s="186">
        <v>10544.56</v>
      </c>
      <c r="Q39" s="186"/>
      <c r="R39" s="186">
        <v>16878.84</v>
      </c>
      <c r="S39" s="186"/>
      <c r="T39" s="186"/>
      <c r="U39" s="186"/>
      <c r="V39" s="186"/>
      <c r="W39" s="186"/>
      <c r="Y39" s="188" t="s">
        <v>252</v>
      </c>
      <c r="Z39" s="19">
        <f>Tabela5[[#This Row],[R$]]/Tabela5[[#Totals],[R$]]</f>
        <v>8.0072146981812458E-3</v>
      </c>
      <c r="AA39" s="3">
        <f>SUMIF($G$15:$G$143,Y39,$J$15:$J$143)</f>
        <v>15617.33</v>
      </c>
      <c r="AD39" s="140"/>
      <c r="AS39" s="138">
        <v>1E-3</v>
      </c>
    </row>
    <row r="40" spans="6:47" ht="15.75" customHeight="1">
      <c r="F40" s="125" t="s">
        <v>242</v>
      </c>
      <c r="G40" s="125" t="s">
        <v>245</v>
      </c>
      <c r="H40" s="125" t="s">
        <v>246</v>
      </c>
      <c r="I40" s="125" t="s">
        <v>135</v>
      </c>
      <c r="J40" s="128">
        <f>SUM(Tabela1[[#This Row],[jan./26]:[dez./26]])</f>
        <v>25728.57</v>
      </c>
      <c r="K40" s="15">
        <f>Tabela1[[#This Row],[Coluna1]]/Tabela1[[#Totals],[Coluna1]]</f>
        <v>1.3178207697945449E-2</v>
      </c>
      <c r="L40" s="184">
        <f>3153.59+181.22</f>
        <v>3334.81</v>
      </c>
      <c r="M40" s="184">
        <f>3163.05+181.22</f>
        <v>3344.27</v>
      </c>
      <c r="N40" s="184">
        <f>3163.52+181.22</f>
        <v>3344.74</v>
      </c>
      <c r="O40" s="186">
        <f>3169.68+181.22</f>
        <v>3350.8999999999996</v>
      </c>
      <c r="P40" s="186">
        <v>2711.06</v>
      </c>
      <c r="Q40" s="186">
        <v>7242.7</v>
      </c>
      <c r="R40" s="186">
        <v>2400.09</v>
      </c>
      <c r="S40" s="186"/>
      <c r="T40" s="186"/>
      <c r="U40" s="186"/>
      <c r="V40" s="186"/>
      <c r="W40" s="186"/>
      <c r="Y40" s="188" t="s">
        <v>397</v>
      </c>
      <c r="Z40" s="19">
        <f>Tabela5[[#This Row],[R$]]/Tabela5[[#Totals],[R$]]</f>
        <v>6.3077081387051823E-3</v>
      </c>
      <c r="AA40" s="3">
        <f>SUMIF($G$15:$G$143,Y40,$J$15:$J$143)</f>
        <v>12302.600000000002</v>
      </c>
    </row>
    <row r="41" spans="6:47" ht="15.75" customHeight="1">
      <c r="F41" s="125" t="s">
        <v>242</v>
      </c>
      <c r="G41" s="125" t="s">
        <v>25</v>
      </c>
      <c r="H41" s="125" t="s">
        <v>408</v>
      </c>
      <c r="I41" s="125" t="s">
        <v>135</v>
      </c>
      <c r="J41" s="128">
        <f>SUM(Tabela1[[#This Row],[jan./26]:[dez./26]])</f>
        <v>19852.36</v>
      </c>
      <c r="K41" s="15">
        <f>Tabela1[[#This Row],[Coluna1]]/Tabela1[[#Totals],[Coluna1]]</f>
        <v>1.0168405137727606E-2</v>
      </c>
      <c r="L41" s="184">
        <v>2278.5500000000002</v>
      </c>
      <c r="M41" s="184">
        <v>2278.5500000000002</v>
      </c>
      <c r="N41" s="184">
        <v>2278.5500000000002</v>
      </c>
      <c r="O41" s="186">
        <v>2280.5100000000002</v>
      </c>
      <c r="P41" s="186">
        <v>5769.64</v>
      </c>
      <c r="Q41" s="186">
        <v>2419.61</v>
      </c>
      <c r="R41" s="186">
        <v>2546.9499999999998</v>
      </c>
      <c r="S41" s="186"/>
      <c r="T41" s="186"/>
      <c r="U41" s="186"/>
      <c r="V41" s="186"/>
      <c r="W41" s="186"/>
      <c r="Y41" s="188" t="s">
        <v>259</v>
      </c>
      <c r="Z41" s="19">
        <f>Tabela5[[#This Row],[R$]]/Tabela5[[#Totals],[R$]]</f>
        <v>3.4055399608071608E-3</v>
      </c>
      <c r="AA41" s="3">
        <f>SUMIF($G$15:$G$143,Y41,$J$15:$J$143)</f>
        <v>6642.1900000000014</v>
      </c>
      <c r="AH41" s="126"/>
    </row>
    <row r="42" spans="6:47" ht="15.75" customHeight="1">
      <c r="F42" s="125" t="s">
        <v>242</v>
      </c>
      <c r="G42" s="125" t="s">
        <v>243</v>
      </c>
      <c r="H42" s="125" t="s">
        <v>411</v>
      </c>
      <c r="I42" s="125" t="s">
        <v>135</v>
      </c>
      <c r="J42" s="128">
        <f>SUM(Tabela1[[#This Row],[jan./26]:[dez./26]])</f>
        <v>17047.63</v>
      </c>
      <c r="K42" s="15">
        <f>Tabela1[[#This Row],[Coluna1]]/Tabela1[[#Totals],[Coluna1]]</f>
        <v>8.7318187096183664E-3</v>
      </c>
      <c r="L42" s="184">
        <v>1277.69</v>
      </c>
      <c r="M42" s="184">
        <v>2796.44</v>
      </c>
      <c r="N42" s="184">
        <v>6802.57</v>
      </c>
      <c r="O42" s="186">
        <v>2342.42</v>
      </c>
      <c r="P42" s="186">
        <v>1154.5999999999999</v>
      </c>
      <c r="Q42" s="186"/>
      <c r="R42" s="186">
        <v>2673.91</v>
      </c>
      <c r="S42" s="186"/>
      <c r="T42" s="186"/>
      <c r="U42" s="186"/>
      <c r="V42" s="186"/>
      <c r="W42" s="186"/>
      <c r="Y42" s="188" t="s">
        <v>271</v>
      </c>
      <c r="Z42" s="19">
        <f>Tabela5[[#This Row],[R$]]/Tabela5[[#Totals],[R$]]</f>
        <v>2.8109462059540077E-3</v>
      </c>
      <c r="AA42" s="3">
        <f>SUMIF($G$15:$G$143,Y42,$J$15:$J$143)</f>
        <v>5482.4900000000007</v>
      </c>
      <c r="AH42" s="126"/>
    </row>
    <row r="43" spans="6:47" ht="15.75" customHeight="1">
      <c r="F43" s="125" t="s">
        <v>242</v>
      </c>
      <c r="G43" s="125" t="s">
        <v>245</v>
      </c>
      <c r="H43" s="125" t="s">
        <v>403</v>
      </c>
      <c r="I43" s="125" t="s">
        <v>151</v>
      </c>
      <c r="J43" s="128">
        <f>SUM(Tabela1[[#This Row],[jan./26]:[dez./26]])</f>
        <v>15482.880000000003</v>
      </c>
      <c r="K43" s="15">
        <f>Tabela1[[#This Row],[Coluna1]]/Tabela1[[#Totals],[Coluna1]]</f>
        <v>7.9303516830653894E-3</v>
      </c>
      <c r="L43" s="184">
        <v>9114.18</v>
      </c>
      <c r="M43" s="184">
        <v>1209.1300000000001</v>
      </c>
      <c r="N43" s="184">
        <v>1209.1199999999999</v>
      </c>
      <c r="O43" s="186">
        <v>1209.1300000000001</v>
      </c>
      <c r="P43" s="186">
        <v>1209.1300000000001</v>
      </c>
      <c r="Q43" s="186">
        <v>1209.1300000000001</v>
      </c>
      <c r="R43" s="186">
        <v>323.06</v>
      </c>
      <c r="S43" s="186"/>
      <c r="T43" s="186"/>
      <c r="U43" s="186"/>
      <c r="V43" s="186"/>
      <c r="W43" s="186"/>
      <c r="Y43" s="188" t="s">
        <v>239</v>
      </c>
      <c r="Z43" s="19">
        <f>Tabela5[[#This Row],[R$]]/Tabela5[[#Totals],[R$]]</f>
        <v>1.4996867577351661E-3</v>
      </c>
      <c r="AA43" s="3">
        <f>SUMIF($G$15:$G$143,Y43,$J$15:$J$143)</f>
        <v>2925</v>
      </c>
      <c r="AH43" s="126"/>
    </row>
    <row r="44" spans="6:47" ht="15.75" customHeight="1">
      <c r="F44" s="125" t="s">
        <v>242</v>
      </c>
      <c r="G44" s="125" t="s">
        <v>245</v>
      </c>
      <c r="H44" s="125" t="s">
        <v>256</v>
      </c>
      <c r="I44" s="125" t="s">
        <v>135</v>
      </c>
      <c r="J44" s="128">
        <f>SUM(Tabela1[[#This Row],[jan./26]:[dez./26]])</f>
        <v>12345.28</v>
      </c>
      <c r="K44" s="15">
        <f>Tabela1[[#This Row],[Coluna1]]/Tabela1[[#Totals],[Coluna1]]</f>
        <v>6.3232687992100609E-3</v>
      </c>
      <c r="L44" s="184">
        <f>198.84+723.81</f>
        <v>922.65</v>
      </c>
      <c r="M44" s="184">
        <f>230.99+913.27</f>
        <v>1144.26</v>
      </c>
      <c r="N44" s="184">
        <f>240.65+1551.77</f>
        <v>1792.42</v>
      </c>
      <c r="O44" s="186">
        <f>271.51+1086.05</f>
        <v>1357.56</v>
      </c>
      <c r="P44" s="186">
        <v>4870.99</v>
      </c>
      <c r="Q44" s="186">
        <v>1128.45</v>
      </c>
      <c r="R44" s="186">
        <v>1128.95</v>
      </c>
      <c r="S44" s="186"/>
      <c r="T44" s="186"/>
      <c r="U44" s="186"/>
      <c r="V44" s="186"/>
      <c r="W44" s="186"/>
      <c r="Y44" s="189" t="s">
        <v>715</v>
      </c>
      <c r="Z44" s="19">
        <f>Tabela5[[#This Row],[R$]]/Tabela5[[#Totals],[R$]]</f>
        <v>5.8967170600725282E-4</v>
      </c>
      <c r="AA44" s="3">
        <f>SUMIF($G$15:$G$143,Y44,$J$15:$J$143)</f>
        <v>1150.0999999999999</v>
      </c>
      <c r="AD44" s="90"/>
    </row>
    <row r="45" spans="6:47" ht="15.75" customHeight="1">
      <c r="F45" s="125" t="s">
        <v>242</v>
      </c>
      <c r="G45" s="125" t="s">
        <v>252</v>
      </c>
      <c r="H45" s="125" t="s">
        <v>274</v>
      </c>
      <c r="I45" s="125" t="s">
        <v>138</v>
      </c>
      <c r="J45" s="128">
        <f>SUM(Tabela1[[#This Row],[jan./26]:[dez./26]])</f>
        <v>8768.8000000000011</v>
      </c>
      <c r="K45" s="15">
        <f>Tabela1[[#This Row],[Coluna1]]/Tabela1[[#Totals],[Coluna1]]</f>
        <v>4.4913909969245894E-3</v>
      </c>
      <c r="L45" s="184">
        <v>454.73</v>
      </c>
      <c r="M45" s="184">
        <v>866.15</v>
      </c>
      <c r="N45" s="184">
        <v>2258.1</v>
      </c>
      <c r="O45" s="186">
        <v>1554.79</v>
      </c>
      <c r="P45" s="186">
        <v>1229.05</v>
      </c>
      <c r="Q45" s="186">
        <v>299.45999999999998</v>
      </c>
      <c r="R45" s="186">
        <v>2106.52</v>
      </c>
      <c r="S45" s="186"/>
      <c r="T45" s="186"/>
      <c r="U45" s="186"/>
      <c r="V45" s="186"/>
      <c r="W45" s="186"/>
      <c r="Y45" s="188" t="s">
        <v>257</v>
      </c>
      <c r="Z45" s="19">
        <f>Tabela5[[#This Row],[R$]]/Tabela5[[#Totals],[R$]]</f>
        <v>4.7678759200706436E-4</v>
      </c>
      <c r="AA45" s="3">
        <f>SUMIF($G$15:$G$143,Y45,$J$15:$J$143)</f>
        <v>929.93000000000006</v>
      </c>
      <c r="AD45" s="141"/>
    </row>
    <row r="46" spans="6:47" ht="15.75" customHeight="1">
      <c r="F46" s="125" t="s">
        <v>242</v>
      </c>
      <c r="G46" s="125" t="s">
        <v>561</v>
      </c>
      <c r="H46" s="125" t="s">
        <v>272</v>
      </c>
      <c r="I46" s="125" t="s">
        <v>235</v>
      </c>
      <c r="J46" s="128">
        <f>SUM(Tabela1[[#This Row],[jan./26]:[dez./26]])</f>
        <v>7344.21</v>
      </c>
      <c r="K46" s="15">
        <f>Tabela1[[#This Row],[Coluna1]]/Tabela1[[#Totals],[Coluna1]]</f>
        <v>3.7617141083755509E-3</v>
      </c>
      <c r="L46" s="184">
        <f>682.59+1.46</f>
        <v>684.05000000000007</v>
      </c>
      <c r="M46" s="184">
        <f>619.74+1.69</f>
        <v>621.43000000000006</v>
      </c>
      <c r="N46" s="184">
        <f>591.2+1.69</f>
        <v>592.8900000000001</v>
      </c>
      <c r="O46" s="186">
        <f>695.83+6.43</f>
        <v>702.26</v>
      </c>
      <c r="P46" s="186">
        <v>648.87</v>
      </c>
      <c r="Q46" s="186">
        <v>2083.6</v>
      </c>
      <c r="R46" s="186">
        <v>2011.11</v>
      </c>
      <c r="S46" s="186"/>
      <c r="T46" s="186"/>
      <c r="U46" s="186"/>
      <c r="V46" s="186"/>
      <c r="W46" s="186"/>
      <c r="Y46" s="188" t="s">
        <v>264</v>
      </c>
      <c r="Z46" s="19">
        <f>Tabela5[[#This Row],[R$]]/Tabela5[[#Totals],[R$]]</f>
        <v>4.4608631233076287E-4</v>
      </c>
      <c r="AA46" s="3">
        <f>SUMIF($G$15:$G$143,Y46,$J$15:$J$143)</f>
        <v>870.05000000000007</v>
      </c>
      <c r="AD46" s="141"/>
    </row>
    <row r="47" spans="6:47" ht="15.75" customHeight="1">
      <c r="F47" s="125" t="s">
        <v>242</v>
      </c>
      <c r="G47" s="125" t="s">
        <v>245</v>
      </c>
      <c r="H47" s="125" t="s">
        <v>247</v>
      </c>
      <c r="I47" s="125" t="s">
        <v>136</v>
      </c>
      <c r="J47" s="128">
        <f>SUM(Tabela1[[#This Row],[jan./26]:[dez./26]])</f>
        <v>7250.14</v>
      </c>
      <c r="K47" s="15">
        <f>Tabela1[[#This Row],[Coluna1]]/Tabela1[[#Totals],[Coluna1]]</f>
        <v>3.7135313295368622E-3</v>
      </c>
      <c r="L47" s="184">
        <f>101.89+19.62</f>
        <v>121.51</v>
      </c>
      <c r="M47" s="184">
        <f>101.89+19.56</f>
        <v>121.45</v>
      </c>
      <c r="N47" s="184">
        <f>101.88+19.56</f>
        <v>121.44</v>
      </c>
      <c r="O47" s="186">
        <f>101.88+19.56</f>
        <v>121.44</v>
      </c>
      <c r="P47" s="186">
        <v>2521.5100000000002</v>
      </c>
      <c r="Q47" s="186">
        <v>1053.02</v>
      </c>
      <c r="R47" s="186">
        <v>3189.77</v>
      </c>
      <c r="S47" s="186"/>
      <c r="T47" s="186"/>
      <c r="U47" s="186"/>
      <c r="V47" s="186"/>
      <c r="W47" s="186"/>
      <c r="Y47" s="188" t="s">
        <v>262</v>
      </c>
      <c r="Z47" s="19">
        <f>Tabela5[[#This Row],[R$]]/Tabela5[[#Totals],[R$]]</f>
        <v>2.9344127249728811E-4</v>
      </c>
      <c r="AA47" s="3">
        <f>SUMIF($G$15:$G$143,Y47,$J$15:$J$143)</f>
        <v>572.33000000000004</v>
      </c>
    </row>
    <row r="48" spans="6:47" ht="15.75" customHeight="1">
      <c r="F48" s="125" t="s">
        <v>242</v>
      </c>
      <c r="G48" s="125" t="s">
        <v>561</v>
      </c>
      <c r="H48" s="125" t="s">
        <v>281</v>
      </c>
      <c r="I48" s="125" t="s">
        <v>135</v>
      </c>
      <c r="J48" s="128">
        <f>SUM(Tabela1[[#This Row],[jan./26]:[dez./26]])</f>
        <v>6806.2000000000007</v>
      </c>
      <c r="K48" s="15">
        <f>Tabela1[[#This Row],[Coluna1]]/Tabela1[[#Totals],[Coluna1]]</f>
        <v>3.4861446723916771E-3</v>
      </c>
      <c r="L48" s="184">
        <v>2663.92</v>
      </c>
      <c r="M48" s="184">
        <v>1064.0999999999999</v>
      </c>
      <c r="N48" s="184">
        <v>2261.08</v>
      </c>
      <c r="O48" s="186">
        <v>399.16</v>
      </c>
      <c r="P48" s="186">
        <v>370.18</v>
      </c>
      <c r="Q48" s="186">
        <v>25.22</v>
      </c>
      <c r="R48" s="186">
        <v>22.54</v>
      </c>
      <c r="S48" s="186"/>
      <c r="T48" s="186"/>
      <c r="U48" s="186"/>
      <c r="V48" s="186"/>
      <c r="W48" s="186"/>
      <c r="Y48" s="188" t="s">
        <v>326</v>
      </c>
      <c r="Z48" s="19">
        <f>Tabela5[[#This Row],[R$]]/Tabela5[[#Totals],[R$]]</f>
        <v>1.3413095818499038E-4</v>
      </c>
      <c r="AA48" s="3">
        <f>SUMIF($G$15:$G$143,Y48,$J$15:$J$143)</f>
        <v>261.61</v>
      </c>
    </row>
    <row r="49" spans="6:27" ht="15.75" customHeight="1">
      <c r="F49" s="125" t="s">
        <v>242</v>
      </c>
      <c r="G49" t="s">
        <v>245</v>
      </c>
      <c r="H49" t="s">
        <v>734</v>
      </c>
      <c r="I49" s="125" t="s">
        <v>134</v>
      </c>
      <c r="J49" s="128">
        <f>SUM(Tabela1[[#This Row],[jan./26]:[dez./26]])</f>
        <v>5732.52</v>
      </c>
      <c r="K49" s="15">
        <f>Tabela1[[#This Row],[Coluna1]]/Tabela1[[#Totals],[Coluna1]]</f>
        <v>2.9362043515293022E-3</v>
      </c>
      <c r="L49" s="186"/>
      <c r="M49" s="186"/>
      <c r="N49" s="186"/>
      <c r="O49" s="186"/>
      <c r="P49" s="186"/>
      <c r="Q49" s="186"/>
      <c r="R49" s="186">
        <v>5732.52</v>
      </c>
      <c r="S49" s="186"/>
      <c r="T49" s="186"/>
      <c r="U49" s="186"/>
      <c r="V49" s="186"/>
      <c r="W49" s="186"/>
      <c r="Y49" s="189" t="s">
        <v>718</v>
      </c>
      <c r="Z49" s="19">
        <f>Tabela5[[#This Row],[R$]]/Tabela5[[#Totals],[R$]]</f>
        <v>2.2113329867048793E-4</v>
      </c>
      <c r="AA49" s="3">
        <f>SUMIF($G$15:$G$143,Y49,$J$15:$J$143)</f>
        <v>431.3</v>
      </c>
    </row>
    <row r="50" spans="6:27" ht="15.75" customHeight="1">
      <c r="F50" s="125" t="s">
        <v>242</v>
      </c>
      <c r="G50" s="125" t="s">
        <v>252</v>
      </c>
      <c r="H50" s="125" t="s">
        <v>275</v>
      </c>
      <c r="I50" s="125" t="s">
        <v>138</v>
      </c>
      <c r="J50" s="128">
        <f>SUM(Tabela1[[#This Row],[jan./26]:[dez./26]])</f>
        <v>5465.2699999999995</v>
      </c>
      <c r="K50" s="15">
        <f>Tabela1[[#This Row],[Coluna1]]/Tabela1[[#Totals],[Coluna1]]</f>
        <v>2.7993185468663949E-3</v>
      </c>
      <c r="L50" s="184">
        <v>984.76</v>
      </c>
      <c r="M50" s="184">
        <v>957.4</v>
      </c>
      <c r="N50" s="184">
        <v>769.88</v>
      </c>
      <c r="O50" s="186">
        <v>833.39</v>
      </c>
      <c r="P50" s="186">
        <v>667.14</v>
      </c>
      <c r="Q50" s="186">
        <v>697.78</v>
      </c>
      <c r="R50" s="186">
        <v>554.91999999999996</v>
      </c>
      <c r="S50" s="186"/>
      <c r="T50" s="186"/>
      <c r="U50" s="186"/>
      <c r="V50" s="186"/>
      <c r="W50" s="186"/>
      <c r="Y50" s="188" t="s">
        <v>269</v>
      </c>
      <c r="Z50" s="19">
        <f>Tabela5[[#This Row],[R$]]/Tabela5[[#Totals],[R$]]</f>
        <v>1.6275574850442776E-4</v>
      </c>
      <c r="AA50" s="3">
        <f>SUMIF($G$15:$G$143,Y50,$J$15:$J$143)</f>
        <v>317.44000000000005</v>
      </c>
    </row>
    <row r="51" spans="6:27" ht="15.75" customHeight="1">
      <c r="F51" s="125" t="s">
        <v>242</v>
      </c>
      <c r="G51" s="125" t="s">
        <v>561</v>
      </c>
      <c r="H51" s="125" t="s">
        <v>278</v>
      </c>
      <c r="I51" s="125" t="s">
        <v>136</v>
      </c>
      <c r="J51" s="128">
        <f>SUM(Tabela1[[#This Row],[jan./26]:[dez./26]])</f>
        <v>5063.9000000000005</v>
      </c>
      <c r="K51" s="15">
        <f>Tabela1[[#This Row],[Coluna1]]/Tabela1[[#Totals],[Coluna1]]</f>
        <v>2.5937363002151294E-3</v>
      </c>
      <c r="L51" s="184">
        <v>874.06</v>
      </c>
      <c r="M51" s="184">
        <v>785.84</v>
      </c>
      <c r="N51" s="184">
        <v>603.08000000000004</v>
      </c>
      <c r="O51" s="186">
        <v>740.61</v>
      </c>
      <c r="P51" s="186">
        <v>560.44000000000005</v>
      </c>
      <c r="Q51" s="186">
        <v>907.66</v>
      </c>
      <c r="R51" s="186">
        <v>592.21</v>
      </c>
      <c r="S51" s="186"/>
      <c r="T51" s="186"/>
      <c r="U51" s="186"/>
      <c r="V51" s="186"/>
      <c r="W51" s="186"/>
      <c r="Y51" s="189" t="s">
        <v>267</v>
      </c>
      <c r="Z51" s="19">
        <f>Tabela5[[#This Row],[R$]]/Tabela5[[#Totals],[R$]]</f>
        <v>1.0722375782740352E-4</v>
      </c>
      <c r="AA51" s="3">
        <f>SUMIF($G$15:$G$143,Y51,$J$15:$J$143)</f>
        <v>209.13</v>
      </c>
    </row>
    <row r="52" spans="6:27" ht="15.75" customHeight="1">
      <c r="F52" s="125" t="s">
        <v>242</v>
      </c>
      <c r="G52" s="125" t="s">
        <v>561</v>
      </c>
      <c r="H52" s="125" t="s">
        <v>279</v>
      </c>
      <c r="I52" s="125" t="s">
        <v>138</v>
      </c>
      <c r="J52" s="128">
        <f>SUM(Tabela1[[#This Row],[jan./26]:[dez./26]])</f>
        <v>4532.01</v>
      </c>
      <c r="K52" s="15">
        <f>Tabela1[[#This Row],[Coluna1]]/Tabela1[[#Totals],[Coluna1]]</f>
        <v>2.3213015363530019E-3</v>
      </c>
      <c r="L52" s="184">
        <v>0</v>
      </c>
      <c r="M52" s="184">
        <v>1862.01</v>
      </c>
      <c r="N52" s="184">
        <v>2005.06</v>
      </c>
      <c r="O52" s="186">
        <v>664.94</v>
      </c>
      <c r="P52" s="186"/>
      <c r="Q52" s="186"/>
      <c r="R52" s="186"/>
      <c r="S52" s="186"/>
      <c r="T52" s="186"/>
      <c r="U52" s="186"/>
      <c r="V52" s="186"/>
      <c r="W52" s="186"/>
      <c r="Y52" s="189" t="s">
        <v>273</v>
      </c>
      <c r="Z52" s="19">
        <f>Tabela5[[#This Row],[R$]]/Tabela5[[#Totals],[R$]]</f>
        <v>8.541805601322349E-6</v>
      </c>
      <c r="AA52" s="3">
        <f>SUMIF($G$15:$G$143,Y52,$J$15:$J$143)</f>
        <v>16.66</v>
      </c>
    </row>
    <row r="53" spans="6:27" ht="15.75" customHeight="1">
      <c r="F53" s="125" t="s">
        <v>242</v>
      </c>
      <c r="G53" s="125" t="s">
        <v>245</v>
      </c>
      <c r="H53" s="125" t="s">
        <v>251</v>
      </c>
      <c r="I53" s="125" t="s">
        <v>134</v>
      </c>
      <c r="J53" s="128">
        <f>SUM(Tabela1[[#This Row],[jan./26]:[dez./26]])</f>
        <v>4519.9699999999993</v>
      </c>
      <c r="K53" s="15">
        <f>Tabela1[[#This Row],[Coluna1]]/Tabela1[[#Totals],[Coluna1]]</f>
        <v>2.3151346323749236E-3</v>
      </c>
      <c r="L53" s="184">
        <v>705.78</v>
      </c>
      <c r="M53" s="184">
        <v>707.01</v>
      </c>
      <c r="N53" s="184">
        <v>707.02</v>
      </c>
      <c r="O53" s="186">
        <v>578.96</v>
      </c>
      <c r="P53" s="186">
        <v>581.48</v>
      </c>
      <c r="Q53" s="186">
        <v>570.17999999999995</v>
      </c>
      <c r="R53" s="186">
        <v>669.54</v>
      </c>
      <c r="S53" s="186"/>
      <c r="T53" s="186"/>
      <c r="U53" s="186"/>
      <c r="V53" s="186"/>
      <c r="W53" s="186"/>
      <c r="Y53" s="188" t="s">
        <v>444</v>
      </c>
      <c r="Z53" s="19">
        <f>Tabela5[[#This Row],[R$]]/Tabela5[[#Totals],[R$]]</f>
        <v>7.4702345504961955E-6</v>
      </c>
      <c r="AA53" s="3">
        <f>SUMIF($G$15:$G$143,Y53,$J$15:$J$143)</f>
        <v>14.57</v>
      </c>
    </row>
    <row r="54" spans="6:27" ht="15.75" customHeight="1">
      <c r="F54" s="125" t="s">
        <v>242</v>
      </c>
      <c r="G54" s="125" t="s">
        <v>324</v>
      </c>
      <c r="H54" s="125" t="s">
        <v>341</v>
      </c>
      <c r="I54" s="125" t="s">
        <v>235</v>
      </c>
      <c r="J54" s="128">
        <f>SUM(Tabela1[[#This Row],[jan./26]:[dez./26]])</f>
        <v>3839.75</v>
      </c>
      <c r="K54" s="15">
        <f>Tabela1[[#This Row],[Coluna1]]/Tabela1[[#Totals],[Coluna1]]</f>
        <v>1.9667250456665893E-3</v>
      </c>
      <c r="L54" s="186">
        <v>0</v>
      </c>
      <c r="M54" s="186">
        <v>980</v>
      </c>
      <c r="N54" s="186">
        <v>0</v>
      </c>
      <c r="O54" s="186">
        <v>0</v>
      </c>
      <c r="P54" s="186">
        <v>2859.75</v>
      </c>
      <c r="Q54" s="186"/>
      <c r="R54" s="186"/>
      <c r="S54" s="186"/>
      <c r="T54" s="186"/>
      <c r="U54" s="186"/>
      <c r="V54" s="186"/>
      <c r="W54" s="186"/>
      <c r="Y54" s="130" t="s">
        <v>150</v>
      </c>
      <c r="Z54" s="142">
        <f>SUBTOTAL(109,Tabela5[%])</f>
        <v>0.99999999999999978</v>
      </c>
      <c r="AA54" s="126">
        <f>SUBTOTAL(109,Tabela5[R$])</f>
        <v>1950407.3000000003</v>
      </c>
    </row>
    <row r="55" spans="6:27" ht="15.75" customHeight="1">
      <c r="F55" s="125" t="s">
        <v>242</v>
      </c>
      <c r="G55" s="125" t="s">
        <v>243</v>
      </c>
      <c r="H55" s="125" t="s">
        <v>412</v>
      </c>
      <c r="I55" s="125" t="s">
        <v>136</v>
      </c>
      <c r="J55" s="128">
        <f>SUM(Tabela1[[#This Row],[jan./26]:[dez./26]])</f>
        <v>3760.8599999999997</v>
      </c>
      <c r="K55" s="15">
        <f>Tabela1[[#This Row],[Coluna1]]/Tabela1[[#Totals],[Coluna1]]</f>
        <v>1.9263174829730187E-3</v>
      </c>
      <c r="L55" s="184">
        <v>374.66</v>
      </c>
      <c r="M55" s="184">
        <v>392.52</v>
      </c>
      <c r="N55" s="184">
        <v>276.98</v>
      </c>
      <c r="O55" s="186">
        <v>475.88</v>
      </c>
      <c r="P55" s="186">
        <v>843.73</v>
      </c>
      <c r="Q55" s="186"/>
      <c r="R55" s="186">
        <v>1397.09</v>
      </c>
      <c r="S55" s="186"/>
      <c r="T55" s="186"/>
      <c r="U55" s="186"/>
      <c r="V55" s="186"/>
      <c r="W55" s="186"/>
    </row>
    <row r="56" spans="6:27" ht="15.75" customHeight="1">
      <c r="F56" s="125" t="s">
        <v>242</v>
      </c>
      <c r="G56" s="125" t="s">
        <v>245</v>
      </c>
      <c r="H56" s="125" t="s">
        <v>254</v>
      </c>
      <c r="I56" s="125" t="s">
        <v>138</v>
      </c>
      <c r="J56" s="128">
        <f>SUM(Tabela1[[#This Row],[jan./26]:[dez./26]])</f>
        <v>3189.8999999999996</v>
      </c>
      <c r="K56" s="15">
        <f>Tabela1[[#This Row],[Coluna1]]/Tabela1[[#Totals],[Coluna1]]</f>
        <v>1.6338710132617624E-3</v>
      </c>
      <c r="L56" s="184">
        <f>333.93+212.59</f>
        <v>546.52</v>
      </c>
      <c r="M56" s="184">
        <f>333.9+212.59</f>
        <v>546.49</v>
      </c>
      <c r="N56" s="184">
        <f>203.73+212.59</f>
        <v>416.32</v>
      </c>
      <c r="O56" s="186">
        <f>127.51+212.59</f>
        <v>340.1</v>
      </c>
      <c r="P56" s="186">
        <v>203.72</v>
      </c>
      <c r="Q56" s="186">
        <v>711.43</v>
      </c>
      <c r="R56" s="186">
        <v>425.32</v>
      </c>
      <c r="S56" s="186"/>
      <c r="T56" s="186"/>
      <c r="U56" s="186"/>
      <c r="V56" s="186"/>
      <c r="W56" s="186"/>
    </row>
    <row r="57" spans="6:27" ht="15.75" customHeight="1">
      <c r="F57" s="125" t="s">
        <v>242</v>
      </c>
      <c r="G57" s="125" t="s">
        <v>243</v>
      </c>
      <c r="H57" s="125" t="s">
        <v>414</v>
      </c>
      <c r="I57" s="125" t="s">
        <v>151</v>
      </c>
      <c r="J57" s="128">
        <f>SUM(Tabela1[[#This Row],[jan./26]:[dez./26]])</f>
        <v>2766.88</v>
      </c>
      <c r="K57" s="15">
        <f>Tabela1[[#This Row],[Coluna1]]/Tabela1[[#Totals],[Coluna1]]</f>
        <v>1.4171996078791518E-3</v>
      </c>
      <c r="L57" s="184">
        <v>121.15</v>
      </c>
      <c r="M57" s="184">
        <v>123.43</v>
      </c>
      <c r="N57" s="184">
        <v>150.55000000000001</v>
      </c>
      <c r="O57" s="186">
        <v>124.69</v>
      </c>
      <c r="P57" s="186">
        <v>1809.31</v>
      </c>
      <c r="Q57" s="186"/>
      <c r="R57" s="186">
        <v>437.75</v>
      </c>
      <c r="S57" s="186"/>
      <c r="T57" s="186"/>
      <c r="U57" s="186"/>
      <c r="V57" s="186"/>
      <c r="W57" s="186"/>
    </row>
    <row r="58" spans="6:27" ht="15.75" customHeight="1">
      <c r="F58" s="125" t="s">
        <v>242</v>
      </c>
      <c r="G58" s="125" t="s">
        <v>245</v>
      </c>
      <c r="H58" s="125" t="s">
        <v>250</v>
      </c>
      <c r="I58" s="125" t="s">
        <v>151</v>
      </c>
      <c r="J58" s="128">
        <f>SUM(Tabela1[[#This Row],[jan./26]:[dez./26]])</f>
        <v>2750.1</v>
      </c>
      <c r="K58" s="15">
        <f>Tabela1[[#This Row],[Coluna1]]/Tabela1[[#Totals],[Coluna1]]</f>
        <v>1.4086048696107004E-3</v>
      </c>
      <c r="L58" s="184">
        <f>123.72+114.88</f>
        <v>238.6</v>
      </c>
      <c r="M58" s="184">
        <f>180.18+114.88</f>
        <v>295.06</v>
      </c>
      <c r="N58" s="184">
        <f>182.04+113.97</f>
        <v>296.01</v>
      </c>
      <c r="O58" s="186">
        <f>189.05+114.88</f>
        <v>303.93</v>
      </c>
      <c r="P58" s="186">
        <v>304.75</v>
      </c>
      <c r="Q58" s="186">
        <v>304.75</v>
      </c>
      <c r="R58" s="186">
        <v>1007</v>
      </c>
      <c r="S58" s="186"/>
      <c r="T58" s="186"/>
      <c r="U58" s="186"/>
      <c r="V58" s="186"/>
      <c r="W58" s="186"/>
      <c r="Z58" s="186"/>
    </row>
    <row r="59" spans="6:27" ht="15.75" customHeight="1">
      <c r="F59" s="125" t="s">
        <v>242</v>
      </c>
      <c r="G59" s="125" t="s">
        <v>245</v>
      </c>
      <c r="H59" s="125" t="s">
        <v>255</v>
      </c>
      <c r="I59" s="125" t="s">
        <v>232</v>
      </c>
      <c r="J59" s="128">
        <f>SUM(Tabela1[[#This Row],[jan./26]:[dez./26]])</f>
        <v>2732.19</v>
      </c>
      <c r="K59" s="15">
        <f>Tabela1[[#This Row],[Coluna1]]/Tabela1[[#Totals],[Coluna1]]</f>
        <v>1.3994313438426456E-3</v>
      </c>
      <c r="L59" s="184">
        <f>232.31+122.47</f>
        <v>354.78</v>
      </c>
      <c r="M59" s="184">
        <f>135.49+122.47</f>
        <v>257.96000000000004</v>
      </c>
      <c r="N59" s="184">
        <f>248.25+122.47</f>
        <v>370.72</v>
      </c>
      <c r="O59" s="186">
        <f>345.07+309.36</f>
        <v>654.43000000000006</v>
      </c>
      <c r="P59" s="186">
        <v>277.54000000000002</v>
      </c>
      <c r="Q59" s="186">
        <v>373.03</v>
      </c>
      <c r="R59" s="186">
        <v>443.73</v>
      </c>
      <c r="S59" s="186"/>
      <c r="T59" s="186"/>
      <c r="U59" s="186"/>
      <c r="V59" s="186"/>
      <c r="W59" s="186"/>
      <c r="Z59" s="186"/>
    </row>
    <row r="60" spans="6:27" ht="15.75" customHeight="1">
      <c r="F60" s="125" t="s">
        <v>242</v>
      </c>
      <c r="G60" s="125" t="s">
        <v>561</v>
      </c>
      <c r="H60" s="125" t="s">
        <v>406</v>
      </c>
      <c r="I60" s="125" t="s">
        <v>232</v>
      </c>
      <c r="J60" s="128">
        <f>SUM(Tabela1[[#This Row],[jan./26]:[dez./26]])</f>
        <v>2660</v>
      </c>
      <c r="K60" s="15">
        <f>Tabela1[[#This Row],[Coluna1]]/Tabela1[[#Totals],[Coluna1]]</f>
        <v>1.3624555300405306E-3</v>
      </c>
      <c r="L60" s="184">
        <v>0</v>
      </c>
      <c r="M60" s="184">
        <v>0</v>
      </c>
      <c r="N60" s="184">
        <v>0</v>
      </c>
      <c r="O60" s="186">
        <v>2660</v>
      </c>
      <c r="P60" s="186"/>
      <c r="Q60" s="186"/>
      <c r="R60" s="186"/>
      <c r="S60" s="186"/>
      <c r="T60" s="186"/>
      <c r="U60" s="186"/>
      <c r="V60" s="186"/>
      <c r="W60" s="186"/>
      <c r="Z60" s="186"/>
    </row>
    <row r="61" spans="6:27" ht="15.75" customHeight="1">
      <c r="F61" s="125" t="s">
        <v>242</v>
      </c>
      <c r="G61" s="125" t="s">
        <v>25</v>
      </c>
      <c r="H61" s="125" t="s">
        <v>284</v>
      </c>
      <c r="I61" s="125" t="s">
        <v>136</v>
      </c>
      <c r="J61" s="128">
        <f>SUM(Tabela1[[#This Row],[jan./26]:[dez./26]])</f>
        <v>1968.5800000000002</v>
      </c>
      <c r="K61" s="15">
        <f>Tabela1[[#This Row],[Coluna1]]/Tabela1[[#Totals],[Coluna1]]</f>
        <v>1.0083092884688677E-3</v>
      </c>
      <c r="L61" s="184">
        <v>38.22</v>
      </c>
      <c r="M61" s="184">
        <v>38.22</v>
      </c>
      <c r="N61" s="184">
        <v>1777.45</v>
      </c>
      <c r="O61" s="186">
        <v>38.25</v>
      </c>
      <c r="P61" s="186">
        <v>38.22</v>
      </c>
      <c r="Q61" s="186">
        <v>38.22</v>
      </c>
      <c r="R61" s="186"/>
      <c r="S61" s="186"/>
      <c r="T61" s="186"/>
      <c r="U61" s="186"/>
      <c r="V61" s="186"/>
      <c r="W61" s="186"/>
      <c r="Z61" s="186"/>
    </row>
    <row r="62" spans="6:27" ht="15.75" customHeight="1">
      <c r="F62" s="125" t="s">
        <v>242</v>
      </c>
      <c r="G62" s="125" t="s">
        <v>729</v>
      </c>
      <c r="H62" t="s">
        <v>730</v>
      </c>
      <c r="I62" s="125" t="s">
        <v>134</v>
      </c>
      <c r="J62" s="128">
        <f>SUM(Tabela1[[#This Row],[jan./26]:[dez./26]])</f>
        <v>1950</v>
      </c>
      <c r="K62" s="15">
        <f>Tabela1[[#This Row],[Coluna1]]/Tabela1[[#Totals],[Coluna1]]</f>
        <v>9.9879258781166726E-4</v>
      </c>
      <c r="L62" s="186"/>
      <c r="M62" s="186"/>
      <c r="N62" s="186"/>
      <c r="O62" s="186"/>
      <c r="P62" s="186"/>
      <c r="Q62" s="186"/>
      <c r="R62" s="186">
        <v>1950</v>
      </c>
      <c r="S62" s="186"/>
      <c r="T62" s="186"/>
      <c r="U62" s="186"/>
      <c r="V62" s="186"/>
      <c r="W62" s="186"/>
      <c r="Z62" s="186"/>
    </row>
    <row r="63" spans="6:27" ht="15.75" customHeight="1">
      <c r="F63" s="125" t="s">
        <v>242</v>
      </c>
      <c r="G63" s="125" t="s">
        <v>243</v>
      </c>
      <c r="H63" s="125" t="s">
        <v>413</v>
      </c>
      <c r="I63" s="125" t="s">
        <v>235</v>
      </c>
      <c r="J63" s="128">
        <f>SUM(Tabela1[[#This Row],[jan./26]:[dez./26]])</f>
        <v>1757.06</v>
      </c>
      <c r="K63" s="15">
        <f>Tabela1[[#This Row],[Coluna1]]/Tabela1[[#Totals],[Coluna1]]</f>
        <v>8.999684637642912E-4</v>
      </c>
      <c r="L63" s="184">
        <v>116.11</v>
      </c>
      <c r="M63" s="184">
        <v>454.62</v>
      </c>
      <c r="N63" s="184">
        <v>308.51</v>
      </c>
      <c r="O63" s="186">
        <v>130.16999999999999</v>
      </c>
      <c r="P63" s="186">
        <v>230.04</v>
      </c>
      <c r="Q63" s="186"/>
      <c r="R63" s="186">
        <v>517.61</v>
      </c>
      <c r="S63" s="186"/>
      <c r="T63" s="186"/>
      <c r="U63" s="186"/>
      <c r="V63" s="186"/>
      <c r="W63" s="186"/>
      <c r="Z63" s="186"/>
    </row>
    <row r="64" spans="6:27" ht="15.75" customHeight="1">
      <c r="F64" s="125" t="s">
        <v>242</v>
      </c>
      <c r="G64" s="125" t="s">
        <v>245</v>
      </c>
      <c r="H64" s="125" t="s">
        <v>261</v>
      </c>
      <c r="I64" s="125" t="s">
        <v>232</v>
      </c>
      <c r="J64" s="128">
        <f>SUM(Tabela1[[#This Row],[jan./26]:[dez./26]])</f>
        <v>1632.36</v>
      </c>
      <c r="K64" s="15">
        <f>Tabela1[[#This Row],[Coluna1]]/Tabela1[[#Totals],[Coluna1]]</f>
        <v>8.360969582770528E-4</v>
      </c>
      <c r="L64" s="184">
        <f>152.8+644.8</f>
        <v>797.59999999999991</v>
      </c>
      <c r="M64" s="184">
        <f>152.8-107.7</f>
        <v>45.100000000000009</v>
      </c>
      <c r="N64" s="184">
        <f>152.81+107.69</f>
        <v>260.5</v>
      </c>
      <c r="O64" s="186">
        <f>152.94-107.79</f>
        <v>45.149999999999991</v>
      </c>
      <c r="P64" s="186">
        <v>260.5</v>
      </c>
      <c r="Q64" s="186">
        <v>158.32</v>
      </c>
      <c r="R64" s="186">
        <v>65.19</v>
      </c>
      <c r="S64" s="186"/>
      <c r="T64" s="186"/>
      <c r="U64" s="186"/>
      <c r="V64" s="186"/>
      <c r="W64" s="186"/>
      <c r="Z64" s="186"/>
    </row>
    <row r="65" spans="6:26" ht="15.75" customHeight="1">
      <c r="F65" s="125" t="s">
        <v>242</v>
      </c>
      <c r="G65" s="125" t="s">
        <v>561</v>
      </c>
      <c r="H65" s="125" t="s">
        <v>282</v>
      </c>
      <c r="I65" s="125" t="s">
        <v>235</v>
      </c>
      <c r="J65" s="128">
        <f>SUM(Tabela1[[#This Row],[jan./26]:[dez./26]])</f>
        <v>1479.0900000000001</v>
      </c>
      <c r="K65" s="15">
        <f>Tabela1[[#This Row],[Coluna1]]/Tabela1[[#Totals],[Coluna1]]</f>
        <v>7.5759186087505587E-4</v>
      </c>
      <c r="L65" s="184">
        <v>0</v>
      </c>
      <c r="M65" s="184">
        <v>117.16</v>
      </c>
      <c r="N65" s="184">
        <v>247.3</v>
      </c>
      <c r="O65" s="186">
        <v>297.35000000000002</v>
      </c>
      <c r="P65" s="186">
        <v>276.8</v>
      </c>
      <c r="Q65" s="186">
        <v>260.32</v>
      </c>
      <c r="R65" s="186">
        <v>280.16000000000003</v>
      </c>
      <c r="S65" s="186"/>
      <c r="T65" s="186"/>
      <c r="U65" s="186"/>
      <c r="V65" s="186"/>
      <c r="W65" s="186"/>
      <c r="Z65" s="186"/>
    </row>
    <row r="66" spans="6:26" ht="15.75" customHeight="1">
      <c r="F66" s="125" t="s">
        <v>242</v>
      </c>
      <c r="G66" s="125" t="s">
        <v>245</v>
      </c>
      <c r="H66" s="125" t="s">
        <v>260</v>
      </c>
      <c r="I66" s="125" t="s">
        <v>232</v>
      </c>
      <c r="J66" s="128">
        <f>SUM(Tabela1[[#This Row],[jan./26]:[dez./26]])</f>
        <v>1190.2199999999998</v>
      </c>
      <c r="K66" s="15">
        <f>Tabela1[[#This Row],[Coluna1]]/Tabela1[[#Totals],[Coluna1]]</f>
        <v>6.096322635206166E-4</v>
      </c>
      <c r="L66" s="184">
        <v>178.95</v>
      </c>
      <c r="M66" s="184">
        <v>168.55</v>
      </c>
      <c r="N66" s="184">
        <v>168.54</v>
      </c>
      <c r="O66" s="186">
        <v>168.55</v>
      </c>
      <c r="P66" s="186">
        <v>168.55</v>
      </c>
      <c r="Q66" s="186">
        <v>168.54</v>
      </c>
      <c r="R66" s="186">
        <v>168.54</v>
      </c>
      <c r="S66" s="186"/>
      <c r="T66" s="186"/>
      <c r="U66" s="186"/>
      <c r="V66" s="186"/>
      <c r="W66" s="186"/>
      <c r="Z66" s="186"/>
    </row>
    <row r="67" spans="6:26" ht="15.75" customHeight="1">
      <c r="F67" s="125" t="s">
        <v>242</v>
      </c>
      <c r="G67" s="125" t="s">
        <v>715</v>
      </c>
      <c r="H67" s="125" t="s">
        <v>716</v>
      </c>
      <c r="I67" s="125" t="s">
        <v>135</v>
      </c>
      <c r="J67" s="128">
        <f>SUM(Tabela1[[#This Row],[jan./26]:[dez./26]])</f>
        <v>1150.0999999999999</v>
      </c>
      <c r="K67" s="15">
        <f>Tabela1[[#This Row],[Coluna1]]/Tabela1[[#Totals],[Coluna1]]</f>
        <v>5.8908274627805042E-4</v>
      </c>
      <c r="L67" s="186"/>
      <c r="M67" s="186"/>
      <c r="N67" s="186"/>
      <c r="O67" s="186"/>
      <c r="P67" s="186"/>
      <c r="Q67" s="186">
        <v>1150.0999999999999</v>
      </c>
      <c r="R67" s="186"/>
      <c r="S67" s="186"/>
      <c r="T67" s="186"/>
      <c r="U67" s="186"/>
      <c r="V67" s="186"/>
      <c r="W67" s="186"/>
      <c r="Z67" s="186"/>
    </row>
    <row r="68" spans="6:26" ht="15.75" customHeight="1">
      <c r="F68" s="125" t="s">
        <v>242</v>
      </c>
      <c r="G68" s="125" t="s">
        <v>259</v>
      </c>
      <c r="H68" s="125" t="s">
        <v>268</v>
      </c>
      <c r="I68" s="125" t="s">
        <v>135</v>
      </c>
      <c r="J68" s="128">
        <f>SUM(Tabela1[[#This Row],[jan./26]:[dez./26]])</f>
        <v>1103.3900000000001</v>
      </c>
      <c r="K68" s="15">
        <f>Tabela1[[#This Row],[Coluna1]]/Tabela1[[#Totals],[Coluna1]]</f>
        <v>5.6515782229000795E-4</v>
      </c>
      <c r="L68" s="186">
        <v>35.39</v>
      </c>
      <c r="M68" s="186">
        <v>20.71</v>
      </c>
      <c r="N68" s="186">
        <v>20.71</v>
      </c>
      <c r="O68" s="186">
        <v>20.72</v>
      </c>
      <c r="P68" s="186">
        <v>999.89</v>
      </c>
      <c r="Q68" s="186">
        <v>5.97</v>
      </c>
      <c r="R68" s="186"/>
      <c r="S68" s="186"/>
      <c r="T68" s="186"/>
      <c r="U68" s="186"/>
      <c r="V68" s="186"/>
      <c r="W68" s="186"/>
      <c r="Z68" s="186"/>
    </row>
    <row r="69" spans="6:26" ht="15.75" customHeight="1">
      <c r="F69" s="125" t="s">
        <v>242</v>
      </c>
      <c r="G69" s="125" t="s">
        <v>245</v>
      </c>
      <c r="H69" s="125" t="s">
        <v>263</v>
      </c>
      <c r="I69" s="125" t="s">
        <v>138</v>
      </c>
      <c r="J69" s="128">
        <f>SUM(Tabela1[[#This Row],[jan./26]:[dez./26]])</f>
        <v>1029.07</v>
      </c>
      <c r="K69" s="15">
        <f>Tabela1[[#This Row],[Coluna1]]/Tabela1[[#Totals],[Coluna1]]</f>
        <v>5.270910196612063E-4</v>
      </c>
      <c r="L69" s="184">
        <v>147.01</v>
      </c>
      <c r="M69" s="184">
        <v>147.01</v>
      </c>
      <c r="N69" s="184">
        <v>147.01</v>
      </c>
      <c r="O69" s="186">
        <v>147.01</v>
      </c>
      <c r="P69" s="186">
        <v>147.01</v>
      </c>
      <c r="Q69" s="186"/>
      <c r="R69" s="186">
        <v>294.02</v>
      </c>
      <c r="S69" s="186"/>
      <c r="T69" s="186"/>
      <c r="U69" s="186"/>
      <c r="V69" s="186"/>
      <c r="W69" s="186"/>
      <c r="Z69" s="186"/>
    </row>
    <row r="70" spans="6:26" ht="15.75" customHeight="1">
      <c r="F70" s="125" t="s">
        <v>242</v>
      </c>
      <c r="G70" s="125" t="s">
        <v>271</v>
      </c>
      <c r="H70" s="125" t="s">
        <v>423</v>
      </c>
      <c r="I70" s="125" t="s">
        <v>135</v>
      </c>
      <c r="J70" s="128">
        <f>SUM(Tabela1[[#This Row],[jan./26]:[dez./26]])</f>
        <v>976.45999999999992</v>
      </c>
      <c r="K70" s="15">
        <f>Tabela1[[#This Row],[Coluna1]]/Tabela1[[#Totals],[Coluna1]]</f>
        <v>5.0014410784337464E-4</v>
      </c>
      <c r="L70" s="184">
        <v>359.36</v>
      </c>
      <c r="M70" s="184">
        <v>73.239999999999995</v>
      </c>
      <c r="N70" s="184">
        <v>73.239999999999995</v>
      </c>
      <c r="O70" s="186">
        <v>73.239999999999995</v>
      </c>
      <c r="P70" s="186">
        <v>356.02</v>
      </c>
      <c r="Q70" s="186">
        <v>20.68</v>
      </c>
      <c r="R70" s="186">
        <v>20.68</v>
      </c>
      <c r="S70" s="186"/>
      <c r="T70" s="186"/>
      <c r="U70" s="186"/>
      <c r="V70" s="186"/>
      <c r="W70" s="186"/>
      <c r="Z70" s="186"/>
    </row>
    <row r="71" spans="6:26" ht="15.75" customHeight="1">
      <c r="F71" s="125" t="s">
        <v>242</v>
      </c>
      <c r="G71" s="125" t="s">
        <v>245</v>
      </c>
      <c r="H71" s="125" t="s">
        <v>248</v>
      </c>
      <c r="I71" s="125" t="s">
        <v>135</v>
      </c>
      <c r="J71" s="128">
        <f>SUM(Tabela1[[#This Row],[jan./26]:[dez./26]])</f>
        <v>956.4799999999999</v>
      </c>
      <c r="K71" s="15">
        <f>Tabela1[[#This Row],[Coluna1]]/Tabela1[[#Totals],[Coluna1]]</f>
        <v>4.8991032532825812E-4</v>
      </c>
      <c r="L71" s="184">
        <v>239.12</v>
      </c>
      <c r="M71" s="184">
        <v>0</v>
      </c>
      <c r="N71" s="184">
        <v>119.56</v>
      </c>
      <c r="O71" s="186">
        <v>239.12</v>
      </c>
      <c r="P71" s="186"/>
      <c r="Q71" s="186">
        <v>119.56</v>
      </c>
      <c r="R71" s="186">
        <v>239.12</v>
      </c>
      <c r="S71" s="186"/>
      <c r="T71" s="186"/>
      <c r="U71" s="186"/>
      <c r="V71" s="186"/>
      <c r="W71" s="186"/>
      <c r="Z71" s="186"/>
    </row>
    <row r="72" spans="6:26" ht="15.75" customHeight="1">
      <c r="F72" s="125" t="s">
        <v>242</v>
      </c>
      <c r="G72" s="125" t="s">
        <v>245</v>
      </c>
      <c r="H72" s="125" t="s">
        <v>258</v>
      </c>
      <c r="I72" s="125" t="s">
        <v>235</v>
      </c>
      <c r="J72" s="128">
        <f>SUM(Tabela1[[#This Row],[jan./26]:[dez./26]])</f>
        <v>934.5200000000001</v>
      </c>
      <c r="K72" s="15">
        <f>Tabela1[[#This Row],[Coluna1]]/Tabela1[[#Totals],[Coluna1]]</f>
        <v>4.7866238418551758E-4</v>
      </c>
      <c r="L72" s="184">
        <f>212.05+18.95</f>
        <v>231</v>
      </c>
      <c r="M72" s="184">
        <v>105.72</v>
      </c>
      <c r="N72" s="184">
        <v>158.24</v>
      </c>
      <c r="O72" s="186">
        <v>105.73</v>
      </c>
      <c r="P72" s="186">
        <v>105.73</v>
      </c>
      <c r="Q72" s="186">
        <v>44.69</v>
      </c>
      <c r="R72" s="186">
        <v>183.41</v>
      </c>
      <c r="S72" s="186"/>
      <c r="T72" s="186"/>
      <c r="U72" s="186"/>
      <c r="V72" s="186"/>
      <c r="W72" s="186"/>
      <c r="Z72" s="186"/>
    </row>
    <row r="73" spans="6:26" ht="15.75" customHeight="1">
      <c r="F73" s="125" t="s">
        <v>242</v>
      </c>
      <c r="G73" s="125" t="s">
        <v>257</v>
      </c>
      <c r="H73" s="125" t="s">
        <v>286</v>
      </c>
      <c r="I73" s="125" t="s">
        <v>235</v>
      </c>
      <c r="J73" s="128">
        <f>SUM(Tabela1[[#This Row],[jan./26]:[dez./26]])</f>
        <v>929.93000000000006</v>
      </c>
      <c r="K73" s="15">
        <f>Tabela1[[#This Row],[Coluna1]]/Tabela1[[#Totals],[Coluna1]]</f>
        <v>4.7631138009420707E-4</v>
      </c>
      <c r="L73" s="186">
        <v>0</v>
      </c>
      <c r="M73" s="186">
        <v>0</v>
      </c>
      <c r="N73" s="186">
        <v>427.8</v>
      </c>
      <c r="O73" s="186">
        <v>0</v>
      </c>
      <c r="P73" s="186">
        <v>502.13</v>
      </c>
      <c r="Q73" s="186"/>
      <c r="R73" s="186"/>
      <c r="S73" s="186"/>
      <c r="T73" s="186"/>
      <c r="U73" s="186"/>
      <c r="V73" s="186"/>
      <c r="W73" s="186"/>
      <c r="Z73" s="186"/>
    </row>
    <row r="74" spans="6:26" ht="15.75" customHeight="1">
      <c r="F74" s="125" t="s">
        <v>242</v>
      </c>
      <c r="G74" s="125" t="s">
        <v>243</v>
      </c>
      <c r="H74" s="125" t="s">
        <v>415</v>
      </c>
      <c r="I74" s="125" t="s">
        <v>134</v>
      </c>
      <c r="J74" s="128">
        <f>SUM(Tabela1[[#This Row],[jan./26]:[dez./26]])</f>
        <v>901.12</v>
      </c>
      <c r="K74" s="15">
        <f>Tabela1[[#This Row],[Coluna1]]/Tabela1[[#Totals],[Coluna1]]</f>
        <v>4.6155485986094848E-4</v>
      </c>
      <c r="L74" s="184">
        <v>127.7</v>
      </c>
      <c r="M74" s="184">
        <v>147.27000000000001</v>
      </c>
      <c r="N74" s="184">
        <v>102.5</v>
      </c>
      <c r="O74" s="186">
        <v>94.41</v>
      </c>
      <c r="P74" s="186">
        <v>90.62</v>
      </c>
      <c r="Q74" s="186"/>
      <c r="R74" s="186">
        <v>338.62</v>
      </c>
      <c r="S74" s="186"/>
      <c r="T74" s="186"/>
      <c r="U74" s="186"/>
      <c r="V74" s="186"/>
      <c r="W74" s="186"/>
      <c r="Z74" s="186"/>
    </row>
    <row r="75" spans="6:26" ht="15.75" customHeight="1">
      <c r="F75" s="125" t="s">
        <v>242</v>
      </c>
      <c r="G75" s="125" t="s">
        <v>25</v>
      </c>
      <c r="H75" s="125" t="s">
        <v>285</v>
      </c>
      <c r="I75" s="125" t="s">
        <v>235</v>
      </c>
      <c r="J75" s="128">
        <f>SUM(Tabela1[[#This Row],[jan./26]:[dez./26]])</f>
        <v>860.97</v>
      </c>
      <c r="K75" s="15">
        <f>Tabela1[[#This Row],[Coluna1]]/Tabela1[[#Totals],[Coluna1]]</f>
        <v>4.4098997657856983E-4</v>
      </c>
      <c r="L75" s="184">
        <v>89.29</v>
      </c>
      <c r="M75" s="184">
        <v>89.29</v>
      </c>
      <c r="N75" s="184">
        <v>142.30000000000001</v>
      </c>
      <c r="O75" s="186">
        <v>143.72999999999999</v>
      </c>
      <c r="P75" s="186">
        <v>149.6</v>
      </c>
      <c r="Q75" s="186">
        <v>96.35</v>
      </c>
      <c r="R75" s="186">
        <v>150.41</v>
      </c>
      <c r="S75" s="186"/>
      <c r="T75" s="186"/>
      <c r="U75" s="186"/>
      <c r="V75" s="186"/>
      <c r="W75" s="186"/>
      <c r="Z75" s="186"/>
    </row>
    <row r="76" spans="6:26" ht="15.75" customHeight="1">
      <c r="F76" s="125" t="s">
        <v>242</v>
      </c>
      <c r="G76" s="125" t="s">
        <v>561</v>
      </c>
      <c r="H76" s="125" t="s">
        <v>280</v>
      </c>
      <c r="I76" s="125" t="s">
        <v>235</v>
      </c>
      <c r="J76" s="128">
        <f>SUM(Tabela1[[#This Row],[jan./26]:[dez./26]])</f>
        <v>857.87</v>
      </c>
      <c r="K76" s="15">
        <f>Tabela1[[#This Row],[Coluna1]]/Tabela1[[#Totals],[Coluna1]]</f>
        <v>4.394021524646128E-4</v>
      </c>
      <c r="L76" s="184">
        <v>131.31</v>
      </c>
      <c r="M76" s="184">
        <v>141.57</v>
      </c>
      <c r="N76" s="184">
        <v>291.13</v>
      </c>
      <c r="O76" s="186">
        <v>133.47999999999999</v>
      </c>
      <c r="P76" s="186">
        <v>160.38</v>
      </c>
      <c r="Q76" s="186"/>
      <c r="R76" s="186"/>
      <c r="S76" s="186"/>
      <c r="T76" s="186"/>
      <c r="U76" s="186"/>
      <c r="V76" s="186"/>
      <c r="W76" s="186"/>
      <c r="Z76" s="186"/>
    </row>
    <row r="77" spans="6:26" ht="15.75" customHeight="1">
      <c r="F77" s="125" t="s">
        <v>242</v>
      </c>
      <c r="G77" t="s">
        <v>271</v>
      </c>
      <c r="H77" s="125" t="s">
        <v>644</v>
      </c>
      <c r="I77" s="125" t="s">
        <v>135</v>
      </c>
      <c r="J77" s="128">
        <f>SUM(Tabela1[[#This Row],[jan./26]:[dez./26]])</f>
        <v>850.07</v>
      </c>
      <c r="K77" s="15">
        <f>Tabela1[[#This Row],[Coluna1]]/Tabela1[[#Totals],[Coluna1]]</f>
        <v>4.3540698211336616E-4</v>
      </c>
      <c r="L77" s="186"/>
      <c r="M77" s="186"/>
      <c r="N77" s="186"/>
      <c r="O77" s="186"/>
      <c r="P77" s="186">
        <v>850.07</v>
      </c>
      <c r="Q77" s="186"/>
      <c r="R77" s="186"/>
      <c r="S77" s="186"/>
      <c r="T77" s="186"/>
      <c r="U77" s="186"/>
      <c r="V77" s="186"/>
      <c r="W77" s="186"/>
      <c r="Z77" s="186"/>
    </row>
    <row r="78" spans="6:26" ht="15.75" customHeight="1">
      <c r="F78" s="125" t="s">
        <v>242</v>
      </c>
      <c r="G78" s="125" t="s">
        <v>271</v>
      </c>
      <c r="H78" s="125" t="s">
        <v>422</v>
      </c>
      <c r="I78" s="125" t="s">
        <v>135</v>
      </c>
      <c r="J78" s="128">
        <f>SUM(Tabela1[[#This Row],[jan./26]:[dez./26]])</f>
        <v>837.73</v>
      </c>
      <c r="K78" s="15">
        <f>Tabela1[[#This Row],[Coluna1]]/Tabela1[[#Totals],[Coluna1]]</f>
        <v>4.2908641773716308E-4</v>
      </c>
      <c r="L78" s="184">
        <v>320.32</v>
      </c>
      <c r="M78" s="184">
        <v>124.37</v>
      </c>
      <c r="N78" s="184">
        <v>124.37</v>
      </c>
      <c r="O78" s="186">
        <v>124.37</v>
      </c>
      <c r="P78" s="186">
        <v>48.1</v>
      </c>
      <c r="Q78" s="186">
        <v>48.1</v>
      </c>
      <c r="R78" s="186">
        <v>48.1</v>
      </c>
      <c r="S78" s="186"/>
      <c r="T78" s="186"/>
      <c r="U78" s="186"/>
      <c r="V78" s="186"/>
      <c r="W78" s="186"/>
      <c r="Z78" s="186"/>
    </row>
    <row r="79" spans="6:26" ht="15.75" customHeight="1">
      <c r="F79" s="125" t="s">
        <v>242</v>
      </c>
      <c r="G79" s="125" t="s">
        <v>271</v>
      </c>
      <c r="H79" s="125" t="s">
        <v>294</v>
      </c>
      <c r="I79" s="125" t="s">
        <v>138</v>
      </c>
      <c r="J79" s="128">
        <f>SUM(Tabela1[[#This Row],[jan./26]:[dez./26]])</f>
        <v>815.6</v>
      </c>
      <c r="K79" s="15">
        <f>Tabela1[[#This Row],[Coluna1]]/Tabela1[[#Totals],[Coluna1]]</f>
        <v>4.1775140236881834E-4</v>
      </c>
      <c r="L79" s="187">
        <v>36.21</v>
      </c>
      <c r="M79" s="187">
        <v>16.97</v>
      </c>
      <c r="N79" s="187">
        <f>16.97+15.61</f>
        <v>32.58</v>
      </c>
      <c r="O79" s="186">
        <f>258.55+15.61</f>
        <v>274.16000000000003</v>
      </c>
      <c r="P79" s="186">
        <v>304.13</v>
      </c>
      <c r="Q79" s="186">
        <v>70.7</v>
      </c>
      <c r="R79" s="186">
        <v>80.849999999999994</v>
      </c>
      <c r="S79" s="186"/>
      <c r="T79" s="186"/>
      <c r="U79" s="186"/>
      <c r="V79" s="186"/>
      <c r="W79" s="186"/>
      <c r="Z79" s="186"/>
    </row>
    <row r="80" spans="6:26" ht="15.75" customHeight="1">
      <c r="F80" s="125" t="s">
        <v>242</v>
      </c>
      <c r="G80" s="125" t="s">
        <v>259</v>
      </c>
      <c r="H80" s="125" t="s">
        <v>287</v>
      </c>
      <c r="I80" s="125" t="s">
        <v>136</v>
      </c>
      <c r="J80" s="128">
        <f>SUM(Tabela1[[#This Row],[jan./26]:[dez./26]])</f>
        <v>742.49</v>
      </c>
      <c r="K80" s="15">
        <f>Tabela1[[#This Row],[Coluna1]]/Tabela1[[#Totals],[Coluna1]]</f>
        <v>3.8030436334578709E-4</v>
      </c>
      <c r="L80" s="184">
        <v>0</v>
      </c>
      <c r="M80" s="184">
        <v>214.1</v>
      </c>
      <c r="N80" s="184">
        <v>0</v>
      </c>
      <c r="O80" s="186">
        <v>0</v>
      </c>
      <c r="P80" s="186"/>
      <c r="Q80" s="186">
        <v>528.39</v>
      </c>
      <c r="R80" s="186"/>
      <c r="S80" s="186"/>
      <c r="T80" s="186"/>
      <c r="U80" s="186"/>
      <c r="V80" s="186"/>
      <c r="W80" s="186"/>
      <c r="Z80" s="186"/>
    </row>
    <row r="81" spans="6:26" ht="15.75" customHeight="1">
      <c r="F81" s="125" t="s">
        <v>242</v>
      </c>
      <c r="G81" s="125" t="s">
        <v>264</v>
      </c>
      <c r="H81" s="125" t="s">
        <v>283</v>
      </c>
      <c r="I81" s="125" t="s">
        <v>134</v>
      </c>
      <c r="J81" s="128">
        <f>SUM(Tabela1[[#This Row],[jan./26]:[dez./26]])</f>
        <v>738.6400000000001</v>
      </c>
      <c r="K81" s="15">
        <f>Tabela1[[#This Row],[Coluna1]]/Tabela1[[#Totals],[Coluna1]]</f>
        <v>3.7833238823651791E-4</v>
      </c>
      <c r="L81" s="184">
        <f>41.77+174.83</f>
        <v>216.60000000000002</v>
      </c>
      <c r="M81" s="184">
        <f>40.74+41.95</f>
        <v>82.69</v>
      </c>
      <c r="N81" s="184">
        <v>37.869999999999997</v>
      </c>
      <c r="O81" s="186">
        <f>44.99+119.64</f>
        <v>164.63</v>
      </c>
      <c r="P81" s="186">
        <v>119.64</v>
      </c>
      <c r="Q81" s="186"/>
      <c r="R81" s="186">
        <v>117.21</v>
      </c>
      <c r="S81" s="186"/>
      <c r="T81" s="186"/>
      <c r="U81" s="186"/>
      <c r="V81" s="186"/>
      <c r="W81" s="186"/>
      <c r="Z81" s="186"/>
    </row>
    <row r="82" spans="6:26" ht="15.75" customHeight="1">
      <c r="F82" s="125" t="s">
        <v>242</v>
      </c>
      <c r="G82" s="125" t="s">
        <v>259</v>
      </c>
      <c r="H82" s="125" t="s">
        <v>433</v>
      </c>
      <c r="I82" s="125" t="s">
        <v>151</v>
      </c>
      <c r="J82" s="128">
        <f>SUM(Tabela1[[#This Row],[jan./26]:[dez./26]])</f>
        <v>724.22</v>
      </c>
      <c r="K82" s="15">
        <f>Tabela1[[#This Row],[Coluna1]]/Tabela1[[#Totals],[Coluna1]]</f>
        <v>3.7094644509998241E-4</v>
      </c>
      <c r="L82" s="184">
        <v>222.04</v>
      </c>
      <c r="M82" s="184">
        <v>0</v>
      </c>
      <c r="N82" s="184">
        <v>0</v>
      </c>
      <c r="O82" s="186">
        <v>0</v>
      </c>
      <c r="P82" s="186"/>
      <c r="Q82" s="186"/>
      <c r="R82" s="186">
        <v>502.18</v>
      </c>
      <c r="S82" s="186"/>
      <c r="T82" s="186"/>
      <c r="U82" s="186"/>
      <c r="V82" s="186"/>
      <c r="W82" s="186"/>
      <c r="Z82" s="186"/>
    </row>
    <row r="83" spans="6:26" ht="15.75" customHeight="1">
      <c r="F83" s="125" t="s">
        <v>242</v>
      </c>
      <c r="G83" s="125" t="s">
        <v>259</v>
      </c>
      <c r="H83" s="125" t="s">
        <v>289</v>
      </c>
      <c r="I83" s="125" t="s">
        <v>138</v>
      </c>
      <c r="J83" s="128">
        <f>SUM(Tabela1[[#This Row],[jan./26]:[dez./26]])</f>
        <v>576.94000000000005</v>
      </c>
      <c r="K83" s="15">
        <f>Tabela1[[#This Row],[Coluna1]]/Tabela1[[#Totals],[Coluna1]]</f>
        <v>2.9550943364721195E-4</v>
      </c>
      <c r="L83" s="184">
        <v>151.13</v>
      </c>
      <c r="M83" s="184">
        <v>41.12</v>
      </c>
      <c r="N83" s="184">
        <v>81.260000000000005</v>
      </c>
      <c r="O83" s="186">
        <v>81.27</v>
      </c>
      <c r="P83" s="186">
        <v>75.22</v>
      </c>
      <c r="Q83" s="186">
        <v>64.59</v>
      </c>
      <c r="R83" s="186">
        <v>82.35</v>
      </c>
      <c r="S83" s="186"/>
      <c r="T83" s="186"/>
      <c r="U83" s="186"/>
      <c r="V83" s="186"/>
      <c r="W83" s="186"/>
      <c r="Z83" s="186"/>
    </row>
    <row r="84" spans="6:26" ht="15.75" customHeight="1">
      <c r="F84" s="125" t="s">
        <v>242</v>
      </c>
      <c r="G84" s="125" t="s">
        <v>271</v>
      </c>
      <c r="H84" s="125" t="s">
        <v>425</v>
      </c>
      <c r="I84" s="125" t="s">
        <v>134</v>
      </c>
      <c r="J84" s="128">
        <f>SUM(Tabela1[[#This Row],[jan./26]:[dez./26]])</f>
        <v>565.55999999999995</v>
      </c>
      <c r="K84" s="15">
        <f>Tabela1[[#This Row],[Coluna1]]/Tabela1[[#Totals],[Coluna1]]</f>
        <v>2.8968058254500844E-4</v>
      </c>
      <c r="L84" s="184">
        <v>0</v>
      </c>
      <c r="M84" s="184">
        <v>0</v>
      </c>
      <c r="N84" s="184">
        <v>104.83</v>
      </c>
      <c r="O84" s="186">
        <v>104.83</v>
      </c>
      <c r="P84" s="186">
        <v>355.9</v>
      </c>
      <c r="Q84" s="186"/>
      <c r="R84" s="186"/>
      <c r="S84" s="186"/>
      <c r="T84" s="186"/>
      <c r="U84" s="186"/>
      <c r="V84" s="186"/>
      <c r="W84" s="186"/>
      <c r="Z84" s="186"/>
    </row>
    <row r="85" spans="6:26" ht="15.75" customHeight="1">
      <c r="F85" s="125" t="s">
        <v>242</v>
      </c>
      <c r="G85" s="125" t="s">
        <v>271</v>
      </c>
      <c r="H85" s="125" t="s">
        <v>298</v>
      </c>
      <c r="I85" s="125" t="s">
        <v>135</v>
      </c>
      <c r="J85" s="128">
        <f>SUM(Tabela1[[#This Row],[jan./26]:[dez./26]])</f>
        <v>526.48</v>
      </c>
      <c r="K85" s="15">
        <f>Tabela1[[#This Row],[Coluna1]]/Tabela1[[#Totals],[Coluna1]]</f>
        <v>2.6966375468260852E-4</v>
      </c>
      <c r="L85" s="184">
        <v>116.08</v>
      </c>
      <c r="M85" s="184">
        <v>66</v>
      </c>
      <c r="N85" s="184">
        <v>212.4</v>
      </c>
      <c r="O85" s="186">
        <v>66</v>
      </c>
      <c r="P85" s="186"/>
      <c r="Q85" s="186">
        <v>66</v>
      </c>
      <c r="R85" s="186"/>
      <c r="S85" s="186"/>
      <c r="T85" s="186"/>
      <c r="U85" s="186"/>
      <c r="V85" s="186"/>
      <c r="W85" s="186"/>
      <c r="Z85" s="186">
        <f>Tabela5[[#Totals],[R$]]-Z82</f>
        <v>1950407.3000000003</v>
      </c>
    </row>
    <row r="86" spans="6:26" ht="15.75" customHeight="1">
      <c r="F86" s="125" t="s">
        <v>242</v>
      </c>
      <c r="G86" s="125" t="s">
        <v>561</v>
      </c>
      <c r="H86" s="125" t="s">
        <v>277</v>
      </c>
      <c r="I86" s="125" t="s">
        <v>134</v>
      </c>
      <c r="J86" s="128">
        <f>SUM(Tabela1[[#This Row],[jan./26]:[dez./26]])</f>
        <v>520.19999999999993</v>
      </c>
      <c r="K86" s="15">
        <f>Tabela1[[#This Row],[Coluna1]]/Tabela1[[#Totals],[Coluna1]]</f>
        <v>2.6644713034852782E-4</v>
      </c>
      <c r="L86" s="184">
        <v>157.93</v>
      </c>
      <c r="M86" s="184">
        <v>38.119999999999997</v>
      </c>
      <c r="N86" s="184">
        <v>35.380000000000003</v>
      </c>
      <c r="O86" s="186">
        <v>41.96</v>
      </c>
      <c r="P86" s="186">
        <v>82.96</v>
      </c>
      <c r="Q86" s="186">
        <v>83.94</v>
      </c>
      <c r="R86" s="186">
        <v>79.91</v>
      </c>
      <c r="S86" s="186"/>
      <c r="T86" s="186"/>
      <c r="U86" s="186"/>
      <c r="V86" s="186"/>
      <c r="W86" s="186"/>
      <c r="Z86" s="186"/>
    </row>
    <row r="87" spans="6:26" ht="15.75" customHeight="1">
      <c r="F87" s="125" t="s">
        <v>242</v>
      </c>
      <c r="G87" s="125" t="s">
        <v>243</v>
      </c>
      <c r="H87" s="125" t="s">
        <v>416</v>
      </c>
      <c r="I87" s="125" t="s">
        <v>232</v>
      </c>
      <c r="J87" s="128">
        <f>SUM(Tabela1[[#This Row],[jan./26]:[dez./26]])</f>
        <v>485.69000000000005</v>
      </c>
      <c r="K87" s="15">
        <f>Tabela1[[#This Row],[Coluna1]]/Tabela1[[#Totals],[Coluna1]]</f>
        <v>2.4877106255089676E-4</v>
      </c>
      <c r="L87" s="184">
        <v>52.12</v>
      </c>
      <c r="M87" s="184">
        <v>59.02</v>
      </c>
      <c r="N87" s="184">
        <v>79.45</v>
      </c>
      <c r="O87" s="186">
        <v>92.88</v>
      </c>
      <c r="P87" s="186">
        <v>59.88</v>
      </c>
      <c r="Q87" s="186"/>
      <c r="R87" s="186">
        <v>142.34</v>
      </c>
      <c r="S87" s="186"/>
      <c r="T87" s="186"/>
      <c r="U87" s="186"/>
      <c r="V87" s="186"/>
      <c r="W87" s="186"/>
    </row>
    <row r="88" spans="6:26" ht="15.75" customHeight="1">
      <c r="F88" s="125" t="s">
        <v>242</v>
      </c>
      <c r="G88" s="125" t="s">
        <v>259</v>
      </c>
      <c r="H88" s="125" t="s">
        <v>717</v>
      </c>
      <c r="I88" s="125" t="s">
        <v>135</v>
      </c>
      <c r="J88" s="128">
        <f>SUM(Tabela1[[#This Row],[jan./26]:[dez./26]])</f>
        <v>480.33</v>
      </c>
      <c r="K88" s="15">
        <f>Tabela1[[#This Row],[Coluna1]]/Tabela1[[#Totals],[Coluna1]]</f>
        <v>2.4602566343773235E-4</v>
      </c>
      <c r="L88" s="186"/>
      <c r="M88" s="186"/>
      <c r="N88" s="186"/>
      <c r="O88" s="186"/>
      <c r="P88" s="186"/>
      <c r="Q88" s="186">
        <v>468.03</v>
      </c>
      <c r="R88" s="186">
        <v>12.3</v>
      </c>
      <c r="S88" s="186"/>
      <c r="T88" s="186"/>
      <c r="U88" s="186"/>
      <c r="V88" s="186"/>
      <c r="W88" s="186"/>
    </row>
    <row r="89" spans="6:26" ht="15.75" customHeight="1">
      <c r="F89" s="125" t="s">
        <v>242</v>
      </c>
      <c r="G89" s="125" t="s">
        <v>252</v>
      </c>
      <c r="H89" s="125" t="s">
        <v>731</v>
      </c>
      <c r="I89" s="125" t="s">
        <v>235</v>
      </c>
      <c r="J89" s="128">
        <f>SUM(Tabela1[[#This Row],[jan./26]:[dez./26]])</f>
        <v>452.74</v>
      </c>
      <c r="K89" s="15">
        <f>Tabela1[[#This Row],[Coluna1]]/Tabela1[[#Totals],[Coluna1]]</f>
        <v>2.3189402882351499E-4</v>
      </c>
      <c r="L89" s="186"/>
      <c r="M89" s="186"/>
      <c r="N89" s="186"/>
      <c r="O89" s="186"/>
      <c r="P89" s="186"/>
      <c r="Q89" s="186"/>
      <c r="R89" s="186">
        <v>452.74</v>
      </c>
      <c r="S89" s="186"/>
      <c r="T89" s="186"/>
      <c r="U89" s="186"/>
      <c r="V89" s="186"/>
      <c r="W89" s="186"/>
    </row>
    <row r="90" spans="6:26" ht="15.75" customHeight="1">
      <c r="F90" s="125" t="s">
        <v>242</v>
      </c>
      <c r="G90" s="125" t="s">
        <v>259</v>
      </c>
      <c r="H90" s="125" t="s">
        <v>430</v>
      </c>
      <c r="I90" s="125" t="s">
        <v>140</v>
      </c>
      <c r="J90" s="128">
        <f>SUM(Tabela1[[#This Row],[jan./26]:[dez./26]])</f>
        <v>442.8</v>
      </c>
      <c r="K90" s="15">
        <f>Tabela1[[#This Row],[Coluna1]]/Tabela1[[#Totals],[Coluna1]]</f>
        <v>2.2680274763231089E-4</v>
      </c>
      <c r="L90" s="184">
        <v>160.16999999999999</v>
      </c>
      <c r="M90" s="184">
        <v>0</v>
      </c>
      <c r="N90" s="184">
        <v>0</v>
      </c>
      <c r="O90" s="186">
        <v>197.84</v>
      </c>
      <c r="P90" s="186">
        <v>84.79</v>
      </c>
      <c r="Q90" s="186"/>
      <c r="R90" s="186"/>
      <c r="S90" s="186"/>
      <c r="T90" s="186"/>
      <c r="U90" s="186"/>
      <c r="V90" s="186"/>
      <c r="W90" s="186"/>
    </row>
    <row r="91" spans="6:26" ht="15.75" customHeight="1">
      <c r="F91" s="125" t="s">
        <v>242</v>
      </c>
      <c r="G91" t="s">
        <v>718</v>
      </c>
      <c r="H91" s="125" t="s">
        <v>719</v>
      </c>
      <c r="I91" s="125" t="s">
        <v>138</v>
      </c>
      <c r="J91" s="128">
        <f>SUM(Tabela1[[#This Row],[jan./26]:[dez./26]])</f>
        <v>431.3</v>
      </c>
      <c r="K91" s="15">
        <f>Tabela1[[#This Row],[Coluna1]]/Tabela1[[#Totals],[Coluna1]]</f>
        <v>2.2091243237085746E-4</v>
      </c>
      <c r="L91" s="186"/>
      <c r="M91" s="186"/>
      <c r="N91" s="186"/>
      <c r="O91" s="186"/>
      <c r="P91" s="186"/>
      <c r="Q91" s="186">
        <v>217.49</v>
      </c>
      <c r="R91" s="186">
        <f>98.26+115.55</f>
        <v>213.81</v>
      </c>
      <c r="S91" s="186"/>
      <c r="T91" s="186"/>
      <c r="U91" s="186"/>
      <c r="V91" s="186"/>
      <c r="W91" s="186"/>
    </row>
    <row r="92" spans="6:26" ht="15.75" customHeight="1">
      <c r="F92" s="125" t="s">
        <v>242</v>
      </c>
      <c r="G92" s="125" t="s">
        <v>259</v>
      </c>
      <c r="H92" s="125" t="s">
        <v>439</v>
      </c>
      <c r="I92" s="125" t="s">
        <v>138</v>
      </c>
      <c r="J92" s="128">
        <f>SUM(Tabela1[[#This Row],[jan./26]:[dez./26]])</f>
        <v>398.96000000000004</v>
      </c>
      <c r="K92" s="15">
        <f>Tabela1[[#This Row],[Coluna1]]/Tabela1[[#Totals],[Coluna1]]</f>
        <v>2.043478414529963E-4</v>
      </c>
      <c r="L92" s="186">
        <v>41.28</v>
      </c>
      <c r="M92" s="186">
        <v>0</v>
      </c>
      <c r="N92" s="186">
        <v>0</v>
      </c>
      <c r="O92" s="186">
        <v>0</v>
      </c>
      <c r="P92" s="186"/>
      <c r="Q92" s="186"/>
      <c r="R92" s="186">
        <v>357.68</v>
      </c>
      <c r="S92" s="186"/>
      <c r="T92" s="186"/>
      <c r="U92" s="186"/>
      <c r="V92" s="186"/>
      <c r="W92" s="186"/>
    </row>
    <row r="93" spans="6:26" ht="15.75" customHeight="1">
      <c r="F93" s="125" t="s">
        <v>242</v>
      </c>
      <c r="G93" s="125" t="s">
        <v>259</v>
      </c>
      <c r="H93" s="125" t="s">
        <v>431</v>
      </c>
      <c r="I93" s="125" t="s">
        <v>136</v>
      </c>
      <c r="J93" s="128">
        <f>SUM(Tabela1[[#This Row],[jan./26]:[dez./26]])</f>
        <v>335.98</v>
      </c>
      <c r="K93" s="15">
        <f>Tabela1[[#This Row],[Coluna1]]/Tabela1[[#Totals],[Coluna1]]</f>
        <v>1.7208940187331484E-4</v>
      </c>
      <c r="L93" s="184">
        <v>21.61</v>
      </c>
      <c r="M93" s="184">
        <v>142.32</v>
      </c>
      <c r="N93" s="184">
        <v>34.520000000000003</v>
      </c>
      <c r="O93" s="186">
        <v>34.51</v>
      </c>
      <c r="P93" s="186">
        <v>34.520000000000003</v>
      </c>
      <c r="Q93" s="186">
        <v>33.99</v>
      </c>
      <c r="R93" s="186">
        <v>34.51</v>
      </c>
      <c r="S93" s="186"/>
      <c r="T93" s="186"/>
      <c r="U93" s="186"/>
      <c r="V93" s="186"/>
      <c r="W93" s="186"/>
    </row>
    <row r="94" spans="6:26" ht="15.75" customHeight="1">
      <c r="F94" s="125" t="s">
        <v>242</v>
      </c>
      <c r="G94" s="125" t="s">
        <v>243</v>
      </c>
      <c r="H94" s="125" t="s">
        <v>417</v>
      </c>
      <c r="I94" s="125" t="s">
        <v>138</v>
      </c>
      <c r="J94" s="128">
        <f>SUM(Tabela1[[#This Row],[jan./26]:[dez./26]])</f>
        <v>331.88</v>
      </c>
      <c r="K94" s="15">
        <f>Tabela1[[#This Row],[Coluna1]]/Tabela1[[#Totals],[Coluna1]]</f>
        <v>1.6998937643227492E-4</v>
      </c>
      <c r="L94" s="184">
        <v>27.85</v>
      </c>
      <c r="M94" s="184">
        <v>45.5</v>
      </c>
      <c r="N94" s="184">
        <v>43.79</v>
      </c>
      <c r="O94" s="186">
        <v>47.68</v>
      </c>
      <c r="P94" s="186">
        <v>81.81</v>
      </c>
      <c r="Q94" s="186"/>
      <c r="R94" s="186">
        <v>85.25</v>
      </c>
      <c r="S94" s="186"/>
      <c r="T94" s="186"/>
      <c r="U94" s="186"/>
      <c r="V94" s="186"/>
      <c r="W94" s="186"/>
    </row>
    <row r="95" spans="6:26" ht="15.75" customHeight="1">
      <c r="F95" s="125" t="s">
        <v>242</v>
      </c>
      <c r="G95" s="125" t="s">
        <v>25</v>
      </c>
      <c r="H95" s="125" t="s">
        <v>410</v>
      </c>
      <c r="I95" s="125" t="s">
        <v>140</v>
      </c>
      <c r="J95" s="128">
        <f>SUM(Tabela1[[#This Row],[jan./26]:[dez./26]])</f>
        <v>325.36</v>
      </c>
      <c r="K95" s="15">
        <f>Tabela1[[#This Row],[Coluna1]]/Tabela1[[#Totals],[Coluna1]]</f>
        <v>1.6664982377969438E-4</v>
      </c>
      <c r="L95" s="184">
        <v>46.48</v>
      </c>
      <c r="M95" s="184">
        <v>46.48</v>
      </c>
      <c r="N95" s="184">
        <v>46.48</v>
      </c>
      <c r="O95" s="186">
        <v>46.48</v>
      </c>
      <c r="P95" s="186">
        <v>46.48</v>
      </c>
      <c r="Q95" s="186">
        <v>46.48</v>
      </c>
      <c r="R95" s="186">
        <v>46.48</v>
      </c>
      <c r="S95" s="186"/>
      <c r="T95" s="186"/>
      <c r="U95" s="186"/>
      <c r="V95" s="186"/>
      <c r="W95" s="186"/>
    </row>
    <row r="96" spans="6:26" ht="15.75" customHeight="1">
      <c r="F96" s="125" t="s">
        <v>242</v>
      </c>
      <c r="G96" s="125" t="s">
        <v>271</v>
      </c>
      <c r="H96" s="125" t="s">
        <v>424</v>
      </c>
      <c r="I96" s="125" t="s">
        <v>135</v>
      </c>
      <c r="J96" s="128">
        <f>SUM(Tabela1[[#This Row],[jan./26]:[dez./26]])</f>
        <v>307.42</v>
      </c>
      <c r="K96" s="15">
        <f>Tabela1[[#This Row],[Coluna1]]/Tabela1[[#Totals],[Coluna1]]</f>
        <v>1.5746093197182705E-4</v>
      </c>
      <c r="L96" s="184">
        <v>0</v>
      </c>
      <c r="M96" s="184">
        <v>0</v>
      </c>
      <c r="N96" s="184">
        <v>307.42</v>
      </c>
      <c r="O96" s="186">
        <v>0</v>
      </c>
      <c r="P96" s="186"/>
      <c r="Q96" s="186"/>
      <c r="R96" s="186"/>
      <c r="S96" s="186"/>
      <c r="T96" s="186"/>
      <c r="U96" s="186"/>
      <c r="V96" s="186"/>
      <c r="W96" s="186"/>
    </row>
    <row r="97" spans="6:23" ht="15.75" customHeight="1">
      <c r="F97" s="125" t="s">
        <v>242</v>
      </c>
      <c r="G97" t="s">
        <v>259</v>
      </c>
      <c r="H97" s="125" t="s">
        <v>646</v>
      </c>
      <c r="I97" s="125" t="s">
        <v>232</v>
      </c>
      <c r="J97" s="128">
        <f>SUM(Tabela1[[#This Row],[jan./26]:[dez./26]])</f>
        <v>287.52999999999997</v>
      </c>
      <c r="K97" s="15">
        <f>Tabela1[[#This Row],[Coluna1]]/Tabela1[[#Totals],[Coluna1]]</f>
        <v>1.4727324757614802E-4</v>
      </c>
      <c r="L97" s="186"/>
      <c r="M97" s="186"/>
      <c r="N97" s="186"/>
      <c r="O97" s="186"/>
      <c r="P97" s="186">
        <v>287.52999999999997</v>
      </c>
      <c r="Q97" s="186"/>
      <c r="R97" s="186"/>
      <c r="S97" s="186"/>
      <c r="T97" s="186"/>
      <c r="U97" s="186"/>
      <c r="V97" s="186"/>
      <c r="W97" s="186"/>
    </row>
    <row r="98" spans="6:23" ht="15.75" customHeight="1">
      <c r="F98" s="125" t="s">
        <v>242</v>
      </c>
      <c r="G98" s="125" t="s">
        <v>25</v>
      </c>
      <c r="H98" s="125" t="s">
        <v>409</v>
      </c>
      <c r="I98" s="125" t="s">
        <v>140</v>
      </c>
      <c r="J98" s="128">
        <f>SUM(Tabela1[[#This Row],[jan./26]:[dez./26]])</f>
        <v>279.92</v>
      </c>
      <c r="K98" s="15">
        <f>Tabela1[[#This Row],[Coluna1]]/Tabela1[[#Totals],[Coluna1]]</f>
        <v>1.4337539547704714E-4</v>
      </c>
      <c r="L98" s="184">
        <v>279.92</v>
      </c>
      <c r="M98" s="184">
        <v>0</v>
      </c>
      <c r="N98" s="184">
        <v>0</v>
      </c>
      <c r="O98" s="186">
        <v>0</v>
      </c>
      <c r="P98" s="186"/>
      <c r="Q98" s="186"/>
      <c r="R98" s="186"/>
      <c r="S98" s="186"/>
      <c r="T98" s="186"/>
      <c r="U98" s="186"/>
      <c r="V98" s="186"/>
      <c r="W98" s="186"/>
    </row>
    <row r="99" spans="6:23" ht="15.75" customHeight="1">
      <c r="F99" s="125" t="s">
        <v>242</v>
      </c>
      <c r="G99" s="125" t="s">
        <v>269</v>
      </c>
      <c r="H99" s="125" t="s">
        <v>296</v>
      </c>
      <c r="I99" s="125" t="s">
        <v>235</v>
      </c>
      <c r="J99" s="128">
        <f>SUM(Tabela1[[#This Row],[jan./26]:[dez./26]])</f>
        <v>256.44000000000005</v>
      </c>
      <c r="K99" s="15">
        <f>Tabela1[[#This Row],[Coluna1]]/Tabela1[[#Totals],[Coluna1]]</f>
        <v>1.3134890831714051E-4</v>
      </c>
      <c r="L99" s="186">
        <v>47.86</v>
      </c>
      <c r="M99" s="186">
        <v>30.97</v>
      </c>
      <c r="N99" s="186">
        <v>35.36</v>
      </c>
      <c r="O99" s="186">
        <v>35.36</v>
      </c>
      <c r="P99" s="186">
        <v>35.36</v>
      </c>
      <c r="Q99" s="186">
        <v>0.81</v>
      </c>
      <c r="R99" s="186">
        <v>70.72</v>
      </c>
      <c r="S99" s="186"/>
      <c r="T99" s="186"/>
      <c r="U99" s="186"/>
      <c r="V99" s="186"/>
      <c r="W99" s="186"/>
    </row>
    <row r="100" spans="6:23" ht="15.75" customHeight="1">
      <c r="F100" s="125" t="s">
        <v>242</v>
      </c>
      <c r="G100" t="s">
        <v>259</v>
      </c>
      <c r="H100" s="125" t="s">
        <v>647</v>
      </c>
      <c r="I100" s="125" t="s">
        <v>135</v>
      </c>
      <c r="J100" s="128">
        <f>SUM(Tabela1[[#This Row],[jan./26]:[dez./26]])</f>
        <v>244.35</v>
      </c>
      <c r="K100" s="15">
        <f>Tabela1[[#This Row],[Coluna1]]/Tabela1[[#Totals],[Coluna1]]</f>
        <v>1.2515639427270814E-4</v>
      </c>
      <c r="L100" s="186"/>
      <c r="M100" s="186"/>
      <c r="N100" s="186"/>
      <c r="O100" s="186"/>
      <c r="P100" s="186">
        <v>244.35</v>
      </c>
      <c r="Q100" s="186"/>
      <c r="R100" s="186"/>
      <c r="S100" s="186"/>
      <c r="T100" s="186"/>
      <c r="U100" s="186"/>
      <c r="V100" s="186"/>
      <c r="W100" s="186"/>
    </row>
    <row r="101" spans="6:23" ht="15.75" customHeight="1">
      <c r="F101" s="125" t="s">
        <v>242</v>
      </c>
      <c r="G101" s="125" t="s">
        <v>252</v>
      </c>
      <c r="H101" s="125" t="s">
        <v>732</v>
      </c>
      <c r="I101" s="125" t="s">
        <v>135</v>
      </c>
      <c r="J101" s="128">
        <f>SUM(Tabela1[[#This Row],[jan./26]:[dez./26]])</f>
        <v>237.13</v>
      </c>
      <c r="K101" s="15">
        <f>Tabela1[[#This Row],[Coluna1]]/Tabela1[[#Totals],[Coluna1]]</f>
        <v>1.2145830069116956E-4</v>
      </c>
      <c r="L101" s="186"/>
      <c r="M101" s="186"/>
      <c r="N101" s="186"/>
      <c r="O101" s="186"/>
      <c r="P101" s="186"/>
      <c r="Q101" s="186"/>
      <c r="R101" s="186">
        <v>237.13</v>
      </c>
      <c r="S101" s="186"/>
      <c r="T101" s="186"/>
      <c r="U101" s="186"/>
      <c r="V101" s="186"/>
      <c r="W101" s="186"/>
    </row>
    <row r="102" spans="6:23" ht="15.75" customHeight="1">
      <c r="F102" s="125" t="s">
        <v>242</v>
      </c>
      <c r="G102" s="125" t="s">
        <v>262</v>
      </c>
      <c r="H102" s="125" t="s">
        <v>290</v>
      </c>
      <c r="I102" s="125" t="s">
        <v>232</v>
      </c>
      <c r="J102" s="128">
        <f>SUM(Tabela1[[#This Row],[jan./26]:[dez./26]])</f>
        <v>234.62</v>
      </c>
      <c r="K102" s="15">
        <f>Tabela1[[#This Row],[Coluna1]]/Tabela1[[#Totals],[Coluna1]]</f>
        <v>1.2017267536019146E-4</v>
      </c>
      <c r="L102" s="186">
        <v>0</v>
      </c>
      <c r="M102" s="186">
        <v>0</v>
      </c>
      <c r="N102" s="186">
        <v>234.62</v>
      </c>
      <c r="O102" s="186">
        <v>0</v>
      </c>
      <c r="P102" s="186"/>
      <c r="Q102" s="186"/>
      <c r="R102" s="186"/>
      <c r="S102" s="186"/>
      <c r="T102" s="186"/>
      <c r="U102" s="186"/>
      <c r="V102" s="186"/>
      <c r="W102" s="186"/>
    </row>
    <row r="103" spans="6:23" ht="15.75" customHeight="1">
      <c r="F103" s="125" t="s">
        <v>242</v>
      </c>
      <c r="G103" s="125" t="s">
        <v>271</v>
      </c>
      <c r="H103" s="125" t="s">
        <v>426</v>
      </c>
      <c r="I103" s="125" t="s">
        <v>134</v>
      </c>
      <c r="J103" s="128">
        <f>SUM(Tabela1[[#This Row],[jan./26]:[dez./26]])</f>
        <v>228.61999999999998</v>
      </c>
      <c r="K103" s="15">
        <f>Tabela1[[#This Row],[Coluna1]]/Tabela1[[#Totals],[Coluna1]]</f>
        <v>1.1709946739769402E-4</v>
      </c>
      <c r="L103" s="184">
        <v>0</v>
      </c>
      <c r="M103" s="184">
        <v>65.319999999999993</v>
      </c>
      <c r="N103" s="184">
        <v>32.659999999999997</v>
      </c>
      <c r="O103" s="186">
        <v>32.659999999999997</v>
      </c>
      <c r="P103" s="186">
        <v>32.659999999999997</v>
      </c>
      <c r="Q103" s="186">
        <v>32.659999999999997</v>
      </c>
      <c r="R103" s="186">
        <v>32.659999999999997</v>
      </c>
      <c r="S103" s="186"/>
      <c r="T103" s="186"/>
      <c r="U103" s="186"/>
      <c r="V103" s="186"/>
      <c r="W103" s="186"/>
    </row>
    <row r="104" spans="6:23" ht="15.75" customHeight="1">
      <c r="F104" s="125" t="s">
        <v>242</v>
      </c>
      <c r="G104" s="125" t="s">
        <v>259</v>
      </c>
      <c r="H104" s="125" t="s">
        <v>432</v>
      </c>
      <c r="I104" s="125" t="s">
        <v>138</v>
      </c>
      <c r="J104" s="128">
        <f>SUM(Tabela1[[#This Row],[jan./26]:[dez./26]])</f>
        <v>223.15</v>
      </c>
      <c r="K104" s="15">
        <f>Tabela1[[#This Row],[Coluna1]]/Tabela1[[#Totals],[Coluna1]]</f>
        <v>1.1429772613855054E-4</v>
      </c>
      <c r="L104" s="184">
        <v>0</v>
      </c>
      <c r="M104" s="184">
        <v>0</v>
      </c>
      <c r="N104" s="184">
        <v>0</v>
      </c>
      <c r="O104" s="186">
        <v>223.15</v>
      </c>
      <c r="P104" s="186"/>
      <c r="Q104" s="186"/>
      <c r="R104" s="186"/>
      <c r="S104" s="186"/>
      <c r="T104" s="186"/>
      <c r="U104" s="186"/>
      <c r="V104" s="186"/>
      <c r="W104" s="186"/>
    </row>
    <row r="105" spans="6:23" ht="15.75" customHeight="1">
      <c r="F105" s="125" t="s">
        <v>242</v>
      </c>
      <c r="G105" s="125" t="s">
        <v>259</v>
      </c>
      <c r="H105" s="125" t="s">
        <v>720</v>
      </c>
      <c r="I105" s="125" t="s">
        <v>235</v>
      </c>
      <c r="J105" s="128">
        <f>SUM(Tabela1[[#This Row],[jan./26]:[dez./26]])</f>
        <v>213.06</v>
      </c>
      <c r="K105" s="15">
        <f>Tabela1[[#This Row],[Coluna1]]/Tabela1[[#Totals],[Coluna1]]</f>
        <v>1.0912961474828401E-4</v>
      </c>
      <c r="L105" s="186"/>
      <c r="M105" s="186"/>
      <c r="N105" s="186"/>
      <c r="O105" s="186"/>
      <c r="P105" s="186"/>
      <c r="Q105" s="186">
        <v>213.06</v>
      </c>
      <c r="R105" s="186"/>
      <c r="S105" s="186"/>
      <c r="T105" s="186"/>
      <c r="U105" s="186"/>
      <c r="V105" s="186"/>
      <c r="W105" s="186"/>
    </row>
    <row r="106" spans="6:23" ht="15.75" customHeight="1">
      <c r="F106" s="125" t="s">
        <v>242</v>
      </c>
      <c r="G106" s="125" t="s">
        <v>561</v>
      </c>
      <c r="H106" s="125" t="s">
        <v>407</v>
      </c>
      <c r="I106" s="125" t="s">
        <v>140</v>
      </c>
      <c r="J106" s="128">
        <f>SUM(Tabela1[[#This Row],[jan./26]:[dez./26]])</f>
        <v>199.49</v>
      </c>
      <c r="K106" s="15">
        <f>Tabela1[[#This Row],[Coluna1]]/Tabela1[[#Totals],[Coluna1]]</f>
        <v>1.0217904273976897E-4</v>
      </c>
      <c r="L106" s="184">
        <v>199.49</v>
      </c>
      <c r="M106" s="184">
        <v>0</v>
      </c>
      <c r="N106" s="184">
        <v>0</v>
      </c>
      <c r="O106" s="186">
        <v>0</v>
      </c>
      <c r="P106" s="186"/>
      <c r="Q106" s="186"/>
      <c r="R106" s="186"/>
      <c r="S106" s="186"/>
      <c r="T106" s="186"/>
      <c r="U106" s="186"/>
      <c r="V106" s="186"/>
      <c r="W106" s="186"/>
    </row>
    <row r="107" spans="6:23" ht="15.75" customHeight="1">
      <c r="F107" s="125" t="s">
        <v>242</v>
      </c>
      <c r="G107" s="125" t="s">
        <v>252</v>
      </c>
      <c r="H107" s="125" t="s">
        <v>420</v>
      </c>
      <c r="I107" s="125" t="s">
        <v>151</v>
      </c>
      <c r="J107" s="128">
        <f>SUM(Tabela1[[#This Row],[jan./26]:[dez./26]])</f>
        <v>197.06</v>
      </c>
      <c r="K107" s="15">
        <f>Tabela1[[#This Row],[Coluna1]]/Tabela1[[#Totals],[Coluna1]]</f>
        <v>1.0093439351495751E-4</v>
      </c>
      <c r="L107" s="184">
        <v>94.59</v>
      </c>
      <c r="M107" s="184">
        <v>0</v>
      </c>
      <c r="N107" s="184">
        <v>0</v>
      </c>
      <c r="O107" s="186">
        <v>0</v>
      </c>
      <c r="P107" s="186">
        <v>71.209999999999994</v>
      </c>
      <c r="Q107" s="186">
        <v>31.26</v>
      </c>
      <c r="R107" s="186"/>
      <c r="S107" s="186"/>
      <c r="T107" s="186"/>
      <c r="U107" s="186"/>
      <c r="V107" s="186"/>
      <c r="W107" s="186"/>
    </row>
    <row r="108" spans="6:23" ht="15.75" customHeight="1">
      <c r="F108" s="125" t="s">
        <v>242</v>
      </c>
      <c r="G108" s="125" t="s">
        <v>245</v>
      </c>
      <c r="H108" s="125" t="s">
        <v>265</v>
      </c>
      <c r="I108" s="125" t="s">
        <v>136</v>
      </c>
      <c r="J108" s="128">
        <f>SUM(Tabela1[[#This Row],[jan./26]:[dez./26]])</f>
        <v>188.36</v>
      </c>
      <c r="K108" s="15">
        <f>Tabela1[[#This Row],[Coluna1]]/Tabela1[[#Totals],[Coluna1]]</f>
        <v>9.647824196933623E-5</v>
      </c>
      <c r="L108" s="184">
        <v>37.5</v>
      </c>
      <c r="M108" s="184">
        <v>0</v>
      </c>
      <c r="N108" s="184">
        <v>75.430000000000007</v>
      </c>
      <c r="O108" s="186">
        <v>37.71</v>
      </c>
      <c r="P108" s="186">
        <v>37.72</v>
      </c>
      <c r="Q108" s="186"/>
      <c r="R108" s="186"/>
      <c r="S108" s="186"/>
      <c r="T108" s="186"/>
      <c r="U108" s="186"/>
      <c r="V108" s="186"/>
      <c r="W108" s="186"/>
    </row>
    <row r="109" spans="6:23" ht="15.75" customHeight="1">
      <c r="F109" s="125" t="s">
        <v>242</v>
      </c>
      <c r="G109" s="125" t="s">
        <v>259</v>
      </c>
      <c r="H109" s="125" t="s">
        <v>288</v>
      </c>
      <c r="I109" s="125" t="s">
        <v>136</v>
      </c>
      <c r="J109" s="128">
        <f>SUM(Tabela1[[#This Row],[jan./26]:[dez./26]])</f>
        <v>185.85</v>
      </c>
      <c r="K109" s="15">
        <f>Tabela1[[#This Row],[Coluna1]]/Tabela1[[#Totals],[Coluna1]]</f>
        <v>9.5192616638358125E-5</v>
      </c>
      <c r="L109" s="184">
        <v>154.82</v>
      </c>
      <c r="M109" s="184">
        <v>31.03</v>
      </c>
      <c r="N109" s="184">
        <v>0</v>
      </c>
      <c r="O109" s="186">
        <v>0</v>
      </c>
      <c r="P109" s="186"/>
      <c r="Q109" s="186"/>
      <c r="R109" s="186"/>
      <c r="S109" s="186"/>
      <c r="T109" s="186"/>
      <c r="U109" s="186"/>
      <c r="V109" s="186"/>
      <c r="W109" s="186"/>
    </row>
    <row r="110" spans="6:23" ht="15.75" customHeight="1">
      <c r="F110" s="125" t="s">
        <v>242</v>
      </c>
      <c r="G110" s="125" t="s">
        <v>271</v>
      </c>
      <c r="H110" s="125" t="s">
        <v>427</v>
      </c>
      <c r="I110" s="125" t="s">
        <v>232</v>
      </c>
      <c r="J110" s="128">
        <f>SUM(Tabela1[[#This Row],[jan./26]:[dez./26]])</f>
        <v>184.97</v>
      </c>
      <c r="K110" s="15">
        <f>Tabela1[[#This Row],[Coluna1]]/Tabela1[[#Totals],[Coluna1]]</f>
        <v>9.4741879470525167E-5</v>
      </c>
      <c r="L110" s="184">
        <v>0</v>
      </c>
      <c r="M110" s="184">
        <v>0</v>
      </c>
      <c r="N110" s="184">
        <v>46.24</v>
      </c>
      <c r="O110" s="186">
        <v>46.24</v>
      </c>
      <c r="P110" s="186"/>
      <c r="Q110" s="186">
        <v>46.24</v>
      </c>
      <c r="R110" s="186">
        <v>46.25</v>
      </c>
      <c r="S110" s="186"/>
      <c r="T110" s="186"/>
      <c r="U110" s="186"/>
      <c r="V110" s="186"/>
      <c r="W110" s="186"/>
    </row>
    <row r="111" spans="6:23" ht="15.75" customHeight="1">
      <c r="F111" s="125" t="s">
        <v>242</v>
      </c>
      <c r="G111" s="125" t="s">
        <v>259</v>
      </c>
      <c r="H111" s="125" t="s">
        <v>434</v>
      </c>
      <c r="I111" s="125" t="s">
        <v>151</v>
      </c>
      <c r="J111" s="128">
        <f>SUM(Tabela1[[#This Row],[jan./26]:[dez./26]])</f>
        <v>170.01</v>
      </c>
      <c r="K111" s="15">
        <f>Tabela1[[#This Row],[Coluna1]]/Tabela1[[#Totals],[Coluna1]]</f>
        <v>8.707934761736489E-5</v>
      </c>
      <c r="L111" s="186">
        <v>0</v>
      </c>
      <c r="M111" s="186">
        <v>0</v>
      </c>
      <c r="N111" s="186">
        <v>138.91</v>
      </c>
      <c r="O111" s="186">
        <v>0.01</v>
      </c>
      <c r="P111" s="186"/>
      <c r="Q111" s="186"/>
      <c r="R111" s="186">
        <v>31.09</v>
      </c>
      <c r="S111" s="186"/>
      <c r="T111" s="186"/>
      <c r="U111" s="186"/>
      <c r="V111" s="186"/>
      <c r="W111" s="186"/>
    </row>
    <row r="112" spans="6:23" ht="15.75" customHeight="1">
      <c r="F112" s="125" t="s">
        <v>242</v>
      </c>
      <c r="G112" s="125" t="s">
        <v>259</v>
      </c>
      <c r="H112" s="125" t="s">
        <v>437</v>
      </c>
      <c r="I112" s="125" t="s">
        <v>134</v>
      </c>
      <c r="J112" s="128">
        <f>SUM(Tabela1[[#This Row],[jan./26]:[dez./26]])</f>
        <v>155.76</v>
      </c>
      <c r="K112" s="15">
        <f>Tabela1[[#This Row],[Coluna1]]/Tabela1[[#Totals],[Coluna1]]</f>
        <v>7.9780478706433473E-5</v>
      </c>
      <c r="L112" s="186">
        <v>0</v>
      </c>
      <c r="M112" s="186">
        <v>0</v>
      </c>
      <c r="N112" s="186">
        <v>51.92</v>
      </c>
      <c r="O112" s="186">
        <v>51.92</v>
      </c>
      <c r="P112" s="186">
        <v>51.92</v>
      </c>
      <c r="Q112" s="186"/>
      <c r="R112" s="186"/>
      <c r="S112" s="186"/>
      <c r="T112" s="186"/>
      <c r="U112" s="186"/>
      <c r="V112" s="186"/>
      <c r="W112" s="186"/>
    </row>
    <row r="113" spans="6:23" ht="15.75" customHeight="1">
      <c r="F113" s="125" t="s">
        <v>242</v>
      </c>
      <c r="G113" s="125" t="s">
        <v>259</v>
      </c>
      <c r="H113" s="125" t="s">
        <v>435</v>
      </c>
      <c r="I113" s="125" t="s">
        <v>232</v>
      </c>
      <c r="J113" s="128">
        <f>SUM(Tabela1[[#This Row],[jan./26]:[dez./26]])</f>
        <v>144.36000000000001</v>
      </c>
      <c r="K113" s="15">
        <f>Tabela1[[#This Row],[Coluna1]]/Tabela1[[#Totals],[Coluna1]]</f>
        <v>7.3941383577688359E-5</v>
      </c>
      <c r="L113" s="186">
        <v>0</v>
      </c>
      <c r="M113" s="186">
        <v>0</v>
      </c>
      <c r="N113" s="186">
        <v>0</v>
      </c>
      <c r="O113" s="186">
        <v>134.86000000000001</v>
      </c>
      <c r="P113" s="186">
        <v>9.5</v>
      </c>
      <c r="Q113" s="186"/>
      <c r="R113" s="186"/>
      <c r="S113" s="186"/>
      <c r="T113" s="186"/>
      <c r="U113" s="186"/>
      <c r="V113" s="186"/>
      <c r="W113" s="186"/>
    </row>
    <row r="114" spans="6:23">
      <c r="F114" s="125" t="s">
        <v>242</v>
      </c>
      <c r="G114" s="125" t="s">
        <v>245</v>
      </c>
      <c r="H114" s="125" t="s">
        <v>266</v>
      </c>
      <c r="I114" s="125" t="s">
        <v>235</v>
      </c>
      <c r="J114" s="128">
        <f>SUM(Tabela1[[#This Row],[jan./26]:[dez./26]])</f>
        <v>140.57</v>
      </c>
      <c r="K114" s="15">
        <f>Tabela1[[#This Row],[Coluna1]]/Tabela1[[#Totals],[Coluna1]]</f>
        <v>7.2000140548044125E-5</v>
      </c>
      <c r="L114" s="184">
        <v>57.02</v>
      </c>
      <c r="M114" s="184">
        <v>27.85</v>
      </c>
      <c r="N114" s="184">
        <v>0</v>
      </c>
      <c r="O114" s="186">
        <v>27.85</v>
      </c>
      <c r="P114" s="186">
        <v>27.85</v>
      </c>
      <c r="Q114" s="186"/>
      <c r="R114" s="186"/>
      <c r="S114" s="186"/>
      <c r="T114" s="186"/>
      <c r="U114" s="186"/>
      <c r="V114" s="186"/>
      <c r="W114" s="186"/>
    </row>
    <row r="115" spans="6:23">
      <c r="F115" s="125" t="s">
        <v>242</v>
      </c>
      <c r="G115" s="125" t="s">
        <v>264</v>
      </c>
      <c r="H115" s="125" t="s">
        <v>293</v>
      </c>
      <c r="I115" s="125" t="s">
        <v>151</v>
      </c>
      <c r="J115" s="128">
        <f>SUM(Tabela1[[#This Row],[jan./26]:[dez./26]])</f>
        <v>131.41</v>
      </c>
      <c r="K115" s="15">
        <f>Tabela1[[#This Row],[Coluna1]]/Tabela1[[#Totals],[Coluna1]]</f>
        <v>6.7308376391964715E-5</v>
      </c>
      <c r="L115" s="186">
        <v>24.79</v>
      </c>
      <c r="M115" s="186">
        <v>24.79</v>
      </c>
      <c r="N115" s="186">
        <v>24.79</v>
      </c>
      <c r="O115" s="186">
        <v>28.52</v>
      </c>
      <c r="P115" s="186">
        <v>28.52</v>
      </c>
      <c r="Q115" s="186">
        <v>0</v>
      </c>
      <c r="R115" s="186">
        <v>0</v>
      </c>
      <c r="S115" s="186"/>
      <c r="T115" s="186"/>
      <c r="U115" s="186"/>
      <c r="V115" s="186"/>
      <c r="W115" s="186"/>
    </row>
    <row r="116" spans="6:23">
      <c r="F116" s="125" t="s">
        <v>242</v>
      </c>
      <c r="G116" s="125" t="s">
        <v>259</v>
      </c>
      <c r="H116" s="125" t="s">
        <v>436</v>
      </c>
      <c r="I116" s="125" t="s">
        <v>136</v>
      </c>
      <c r="J116" s="128">
        <f>SUM(Tabela1[[#This Row],[jan./26]:[dez./26]])</f>
        <v>121.85</v>
      </c>
      <c r="K116" s="15">
        <f>Tabela1[[#This Row],[Coluna1]]/Tabela1[[#Totals],[Coluna1]]</f>
        <v>6.2411731705052121E-5</v>
      </c>
      <c r="L116" s="186">
        <v>0</v>
      </c>
      <c r="M116" s="186">
        <v>0</v>
      </c>
      <c r="N116" s="186">
        <v>121.85</v>
      </c>
      <c r="O116" s="186">
        <v>0</v>
      </c>
      <c r="P116" s="186"/>
      <c r="Q116" s="186"/>
      <c r="R116" s="186"/>
      <c r="S116" s="186"/>
      <c r="T116" s="186"/>
      <c r="U116" s="186"/>
      <c r="V116" s="186"/>
      <c r="W116" s="186"/>
    </row>
    <row r="117" spans="6:23">
      <c r="F117" s="125" t="s">
        <v>242</v>
      </c>
      <c r="G117" s="125" t="s">
        <v>262</v>
      </c>
      <c r="H117" s="125" t="s">
        <v>440</v>
      </c>
      <c r="I117" s="125" t="s">
        <v>232</v>
      </c>
      <c r="J117" s="128">
        <f>SUM(Tabela1[[#This Row],[jan./26]:[dez./26]])</f>
        <v>121.05</v>
      </c>
      <c r="K117" s="15">
        <f>Tabela1[[#This Row],[Coluna1]]/Tabela1[[#Totals],[Coluna1]]</f>
        <v>6.2001970643385795E-5</v>
      </c>
      <c r="L117" s="186">
        <v>121.05</v>
      </c>
      <c r="M117" s="186">
        <v>0</v>
      </c>
      <c r="N117" s="186">
        <v>0</v>
      </c>
      <c r="O117" s="186">
        <v>0</v>
      </c>
      <c r="P117" s="186"/>
      <c r="Q117" s="186"/>
      <c r="R117" s="186"/>
      <c r="S117" s="186"/>
      <c r="T117" s="186"/>
      <c r="U117" s="186"/>
      <c r="V117" s="186"/>
      <c r="W117" s="186"/>
    </row>
    <row r="118" spans="6:23">
      <c r="F118" s="125" t="s">
        <v>242</v>
      </c>
      <c r="G118" s="125" t="s">
        <v>252</v>
      </c>
      <c r="H118" s="125" t="s">
        <v>418</v>
      </c>
      <c r="I118" s="125" t="s">
        <v>136</v>
      </c>
      <c r="J118" s="128">
        <f>SUM(Tabela1[[#This Row],[jan./26]:[dez./26]])</f>
        <v>109.35</v>
      </c>
      <c r="K118" s="15">
        <f>Tabela1[[#This Row],[Coluna1]]/Tabela1[[#Totals],[Coluna1]]</f>
        <v>5.6009215116515799E-5</v>
      </c>
      <c r="L118" s="184">
        <v>0</v>
      </c>
      <c r="M118" s="184">
        <v>109.35</v>
      </c>
      <c r="N118" s="184">
        <v>0</v>
      </c>
      <c r="O118" s="186">
        <v>0</v>
      </c>
      <c r="P118" s="186"/>
      <c r="Q118" s="186"/>
      <c r="R118" s="186"/>
      <c r="S118" s="186"/>
      <c r="T118" s="186"/>
      <c r="U118" s="186"/>
      <c r="V118" s="186"/>
      <c r="W118" s="186"/>
    </row>
    <row r="119" spans="6:23">
      <c r="F119" s="125" t="s">
        <v>242</v>
      </c>
      <c r="G119" s="125" t="s">
        <v>267</v>
      </c>
      <c r="H119" s="125" t="s">
        <v>443</v>
      </c>
      <c r="I119" s="125" t="s">
        <v>138</v>
      </c>
      <c r="J119" s="128">
        <f>SUM(Tabela1[[#This Row],[jan./26]:[dez./26]])</f>
        <v>108.02000000000001</v>
      </c>
      <c r="K119" s="15">
        <f>Tabela1[[#This Row],[Coluna1]]/Tabela1[[#Totals],[Coluna1]]</f>
        <v>5.532798735149554E-5</v>
      </c>
      <c r="L119" s="186">
        <v>11.85</v>
      </c>
      <c r="M119" s="186">
        <v>11.86</v>
      </c>
      <c r="N119" s="186">
        <v>11.86</v>
      </c>
      <c r="O119" s="186">
        <v>11.85</v>
      </c>
      <c r="P119" s="186">
        <v>11.68</v>
      </c>
      <c r="Q119" s="186">
        <v>48.92</v>
      </c>
      <c r="R119" s="186"/>
      <c r="S119" s="186"/>
      <c r="T119" s="186"/>
      <c r="U119" s="186"/>
      <c r="V119" s="186"/>
      <c r="W119" s="186"/>
    </row>
    <row r="120" spans="6:23">
      <c r="F120" s="125" t="s">
        <v>242</v>
      </c>
      <c r="G120" s="125" t="s">
        <v>267</v>
      </c>
      <c r="H120" s="125" t="s">
        <v>442</v>
      </c>
      <c r="I120" s="125" t="s">
        <v>136</v>
      </c>
      <c r="J120" s="128">
        <f>SUM(Tabela1[[#This Row],[jan./26]:[dez./26]])</f>
        <v>101.11</v>
      </c>
      <c r="K120" s="15">
        <f>Tabela1[[#This Row],[Coluna1]]/Tabela1[[#Totals],[Coluna1]]</f>
        <v>5.178867618135265E-5</v>
      </c>
      <c r="L120" s="186">
        <v>101.11</v>
      </c>
      <c r="M120" s="186">
        <v>0</v>
      </c>
      <c r="N120" s="186">
        <v>0</v>
      </c>
      <c r="O120" s="186">
        <v>0</v>
      </c>
      <c r="P120" s="186"/>
      <c r="Q120" s="186"/>
      <c r="R120" s="186"/>
      <c r="S120" s="186"/>
      <c r="T120" s="186"/>
      <c r="U120" s="186"/>
      <c r="V120" s="186"/>
      <c r="W120" s="186"/>
    </row>
    <row r="121" spans="6:23">
      <c r="F121" s="125" t="s">
        <v>242</v>
      </c>
      <c r="G121" s="125" t="s">
        <v>252</v>
      </c>
      <c r="H121" s="125" t="s">
        <v>419</v>
      </c>
      <c r="I121" s="125" t="s">
        <v>138</v>
      </c>
      <c r="J121" s="128">
        <f>SUM(Tabela1[[#This Row],[jan./26]:[dez./26]])</f>
        <v>100.4</v>
      </c>
      <c r="K121" s="15">
        <f>Tabela1[[#This Row],[Coluna1]]/Tabela1[[#Totals],[Coluna1]]</f>
        <v>5.142501323912379E-5</v>
      </c>
      <c r="L121" s="184">
        <v>0</v>
      </c>
      <c r="M121" s="184">
        <v>0</v>
      </c>
      <c r="N121" s="184">
        <v>0</v>
      </c>
      <c r="O121" s="186">
        <v>100.4</v>
      </c>
      <c r="P121" s="186"/>
      <c r="Q121" s="186"/>
      <c r="R121" s="186"/>
      <c r="S121" s="186"/>
      <c r="T121" s="186"/>
      <c r="U121" s="186"/>
      <c r="V121" s="186"/>
      <c r="W121" s="186"/>
    </row>
    <row r="122" spans="6:23">
      <c r="F122" s="125" t="s">
        <v>242</v>
      </c>
      <c r="G122" s="125" t="s">
        <v>259</v>
      </c>
      <c r="H122" s="125" t="s">
        <v>438</v>
      </c>
      <c r="I122" s="125" t="s">
        <v>140</v>
      </c>
      <c r="J122" s="128">
        <f>SUM(Tabela1[[#This Row],[jan./26]:[dez./26]])</f>
        <v>91.16</v>
      </c>
      <c r="K122" s="15">
        <f>Tabela1[[#This Row],[Coluna1]]/Tabela1[[#Totals],[Coluna1]]</f>
        <v>4.6692272976877735E-5</v>
      </c>
      <c r="L122" s="186">
        <v>54.89</v>
      </c>
      <c r="M122" s="186">
        <v>0</v>
      </c>
      <c r="N122" s="186">
        <v>0</v>
      </c>
      <c r="O122" s="186">
        <v>0</v>
      </c>
      <c r="P122" s="186"/>
      <c r="Q122" s="186"/>
      <c r="R122" s="186">
        <v>36.270000000000003</v>
      </c>
      <c r="S122" s="186"/>
      <c r="T122" s="186"/>
      <c r="U122" s="186"/>
      <c r="V122" s="186"/>
      <c r="W122" s="186"/>
    </row>
    <row r="123" spans="6:23">
      <c r="F123" s="125" t="s">
        <v>242</v>
      </c>
      <c r="G123" s="125" t="s">
        <v>252</v>
      </c>
      <c r="H123" s="125" t="s">
        <v>276</v>
      </c>
      <c r="I123" s="125" t="s">
        <v>135</v>
      </c>
      <c r="J123" s="128">
        <f>SUM(Tabela1[[#This Row],[jan./26]:[dez./26]])</f>
        <v>86.62</v>
      </c>
      <c r="K123" s="15">
        <f>Tabela1[[#This Row],[Coluna1]]/Tabela1[[#Totals],[Coluna1]]</f>
        <v>4.4366878951921346E-5</v>
      </c>
      <c r="L123" s="184">
        <v>17.84</v>
      </c>
      <c r="M123" s="184">
        <v>0</v>
      </c>
      <c r="N123" s="184">
        <v>0</v>
      </c>
      <c r="O123" s="186">
        <v>40.35</v>
      </c>
      <c r="P123" s="186">
        <v>28.43</v>
      </c>
      <c r="Q123" s="186"/>
      <c r="R123" s="186"/>
      <c r="S123" s="186"/>
      <c r="T123" s="186"/>
      <c r="U123" s="186"/>
      <c r="V123" s="186"/>
      <c r="W123" s="186"/>
    </row>
    <row r="124" spans="6:23">
      <c r="F124" s="125" t="s">
        <v>242</v>
      </c>
      <c r="G124" s="125" t="s">
        <v>245</v>
      </c>
      <c r="H124" s="125" t="s">
        <v>404</v>
      </c>
      <c r="I124" s="125" t="s">
        <v>138</v>
      </c>
      <c r="J124" s="128">
        <f>SUM(Tabela1[[#This Row],[jan./26]:[dez./26]])</f>
        <v>80.44</v>
      </c>
      <c r="K124" s="15">
        <f>Tabela1[[#This Row],[Coluna1]]/Tabela1[[#Totals],[Coluna1]]</f>
        <v>4.120147475054898E-5</v>
      </c>
      <c r="L124" s="184">
        <v>0</v>
      </c>
      <c r="M124" s="184">
        <v>0</v>
      </c>
      <c r="N124" s="184">
        <v>39.19</v>
      </c>
      <c r="O124" s="186">
        <v>0</v>
      </c>
      <c r="P124" s="186"/>
      <c r="Q124" s="186">
        <v>41.25</v>
      </c>
      <c r="R124" s="186"/>
      <c r="S124" s="186"/>
      <c r="T124" s="186"/>
      <c r="U124" s="186"/>
      <c r="V124" s="186"/>
      <c r="W124" s="186"/>
    </row>
    <row r="125" spans="6:23">
      <c r="F125" s="125" t="s">
        <v>242</v>
      </c>
      <c r="G125" s="125" t="s">
        <v>262</v>
      </c>
      <c r="H125" s="125" t="s">
        <v>291</v>
      </c>
      <c r="I125" s="125" t="s">
        <v>134</v>
      </c>
      <c r="J125" s="128">
        <f>SUM(Tabela1[[#This Row],[jan./26]:[dez./26]])</f>
        <v>80.38</v>
      </c>
      <c r="K125" s="15">
        <f>Tabela1[[#This Row],[Coluna1]]/Tabela1[[#Totals],[Coluna1]]</f>
        <v>4.1170742670924E-5</v>
      </c>
      <c r="L125" s="186">
        <v>0</v>
      </c>
      <c r="M125" s="186">
        <v>80.38</v>
      </c>
      <c r="N125" s="186">
        <v>0</v>
      </c>
      <c r="O125" s="186">
        <v>0</v>
      </c>
      <c r="P125" s="186"/>
      <c r="Q125" s="186"/>
      <c r="R125" s="186"/>
      <c r="S125" s="186"/>
      <c r="T125" s="186"/>
      <c r="U125" s="186"/>
      <c r="V125" s="186"/>
      <c r="W125" s="186"/>
    </row>
    <row r="126" spans="6:23">
      <c r="F126" s="125" t="s">
        <v>242</v>
      </c>
      <c r="G126" s="125" t="s">
        <v>271</v>
      </c>
      <c r="H126" s="125" t="s">
        <v>721</v>
      </c>
      <c r="I126" s="125" t="s">
        <v>134</v>
      </c>
      <c r="J126" s="128">
        <f>SUM(Tabela1[[#This Row],[jan./26]:[dez./26]])</f>
        <v>80.27</v>
      </c>
      <c r="K126" s="15">
        <f>Tabela1[[#This Row],[Coluna1]]/Tabela1[[#Totals],[Coluna1]]</f>
        <v>4.1114400524944882E-5</v>
      </c>
      <c r="L126" s="186"/>
      <c r="M126" s="186"/>
      <c r="N126" s="186"/>
      <c r="O126" s="186"/>
      <c r="P126" s="186"/>
      <c r="Q126" s="186">
        <v>80.27</v>
      </c>
      <c r="R126" s="186"/>
      <c r="S126" s="186"/>
      <c r="T126" s="186"/>
      <c r="U126" s="186"/>
      <c r="V126" s="186"/>
      <c r="W126" s="186"/>
    </row>
    <row r="127" spans="6:23">
      <c r="F127" s="125" t="s">
        <v>242</v>
      </c>
      <c r="G127" s="125" t="s">
        <v>262</v>
      </c>
      <c r="H127" s="125" t="s">
        <v>441</v>
      </c>
      <c r="I127" s="125" t="s">
        <v>134</v>
      </c>
      <c r="J127" s="128">
        <f>SUM(Tabela1[[#This Row],[jan./26]:[dez./26]])</f>
        <v>68.070000000000007</v>
      </c>
      <c r="K127" s="15">
        <f>Tabela1[[#This Row],[Coluna1]]/Tabela1[[#Totals],[Coluna1]]</f>
        <v>3.4865544334533434E-5</v>
      </c>
      <c r="L127" s="186">
        <v>0</v>
      </c>
      <c r="M127" s="186">
        <v>0</v>
      </c>
      <c r="N127" s="186">
        <v>0</v>
      </c>
      <c r="O127" s="186">
        <v>19.23</v>
      </c>
      <c r="P127" s="186">
        <v>13.75</v>
      </c>
      <c r="Q127" s="186"/>
      <c r="R127" s="186">
        <v>35.090000000000003</v>
      </c>
      <c r="S127" s="186"/>
      <c r="T127" s="186"/>
      <c r="U127" s="186"/>
      <c r="V127" s="186"/>
      <c r="W127" s="186"/>
    </row>
    <row r="128" spans="6:23">
      <c r="F128" s="125" t="s">
        <v>242</v>
      </c>
      <c r="G128" s="125" t="s">
        <v>262</v>
      </c>
      <c r="H128" s="125" t="s">
        <v>722</v>
      </c>
      <c r="I128" s="125" t="s">
        <v>235</v>
      </c>
      <c r="J128" s="128">
        <f>SUM(Tabela1[[#This Row],[jan./26]:[dez./26]])</f>
        <v>66.25</v>
      </c>
      <c r="K128" s="15">
        <f>Tabela1[[#This Row],[Coluna1]]/Tabela1[[#Totals],[Coluna1]]</f>
        <v>3.3933337919242537E-5</v>
      </c>
      <c r="L128" s="186"/>
      <c r="M128" s="186"/>
      <c r="N128" s="186"/>
      <c r="O128" s="186"/>
      <c r="P128" s="186"/>
      <c r="Q128" s="186">
        <v>66.25</v>
      </c>
      <c r="R128" s="186"/>
      <c r="S128" s="186"/>
      <c r="T128" s="186"/>
      <c r="U128" s="186"/>
      <c r="V128" s="186"/>
      <c r="W128" s="186"/>
    </row>
    <row r="129" spans="6:23">
      <c r="F129" s="125" t="s">
        <v>242</v>
      </c>
      <c r="G129" s="125" t="s">
        <v>269</v>
      </c>
      <c r="H129" s="125" t="s">
        <v>295</v>
      </c>
      <c r="I129" s="125" t="s">
        <v>151</v>
      </c>
      <c r="J129" s="128">
        <f>SUM(Tabela1[[#This Row],[jan./26]:[dez./26]])</f>
        <v>61</v>
      </c>
      <c r="K129" s="15">
        <f>Tabela1[[#This Row],[Coluna1]]/Tabela1[[#Totals],[Coluna1]]</f>
        <v>3.1244280952057281E-5</v>
      </c>
      <c r="L129" s="186">
        <v>0.78</v>
      </c>
      <c r="M129" s="186">
        <v>0.78</v>
      </c>
      <c r="N129" s="186">
        <v>0.78</v>
      </c>
      <c r="O129" s="186">
        <v>0</v>
      </c>
      <c r="P129" s="186">
        <v>0.81</v>
      </c>
      <c r="Q129" s="186">
        <v>28.52</v>
      </c>
      <c r="R129" s="186">
        <v>29.33</v>
      </c>
      <c r="S129" s="186"/>
      <c r="T129" s="186"/>
      <c r="U129" s="186"/>
      <c r="V129" s="186"/>
      <c r="W129" s="186"/>
    </row>
    <row r="130" spans="6:23">
      <c r="F130" s="125" t="s">
        <v>242</v>
      </c>
      <c r="G130" t="s">
        <v>252</v>
      </c>
      <c r="H130" s="125" t="s">
        <v>641</v>
      </c>
      <c r="I130" s="125" t="s">
        <v>135</v>
      </c>
      <c r="J130" s="128">
        <f>SUM(Tabela1[[#This Row],[jan./26]:[dez./26]])</f>
        <v>58.8</v>
      </c>
      <c r="K130" s="15">
        <f>Tabela1[[#This Row],[Coluna1]]/Tabela1[[#Totals],[Coluna1]]</f>
        <v>3.0117438032474885E-5</v>
      </c>
      <c r="L130" s="186"/>
      <c r="M130" s="186"/>
      <c r="N130" s="186"/>
      <c r="O130" s="186"/>
      <c r="P130" s="186">
        <v>58.8</v>
      </c>
      <c r="Q130" s="186"/>
      <c r="R130" s="186"/>
      <c r="S130" s="186"/>
      <c r="T130" s="186"/>
      <c r="U130" s="186"/>
      <c r="V130" s="186"/>
      <c r="W130" s="186"/>
    </row>
    <row r="131" spans="6:23">
      <c r="F131" s="125" t="s">
        <v>242</v>
      </c>
      <c r="G131" s="125" t="s">
        <v>271</v>
      </c>
      <c r="H131" s="125" t="s">
        <v>428</v>
      </c>
      <c r="I131" s="125" t="s">
        <v>151</v>
      </c>
      <c r="J131" s="128">
        <f>SUM(Tabela1[[#This Row],[jan./26]:[dez./26]])</f>
        <v>54.66</v>
      </c>
      <c r="K131" s="15">
        <f>Tabela1[[#This Row],[Coluna1]]/Tabela1[[#Totals],[Coluna1]]</f>
        <v>2.7996924538351653E-5</v>
      </c>
      <c r="L131" s="184">
        <v>0</v>
      </c>
      <c r="M131" s="184">
        <v>9.11</v>
      </c>
      <c r="N131" s="184">
        <v>9.11</v>
      </c>
      <c r="O131" s="186">
        <v>9.11</v>
      </c>
      <c r="P131" s="186">
        <v>18.22</v>
      </c>
      <c r="Q131" s="186">
        <v>0</v>
      </c>
      <c r="R131" s="186">
        <v>9.11</v>
      </c>
      <c r="S131" s="186"/>
      <c r="T131" s="186"/>
      <c r="U131" s="186"/>
      <c r="V131" s="186"/>
      <c r="W131" s="186"/>
    </row>
    <row r="132" spans="6:23">
      <c r="F132" s="125" t="s">
        <v>242</v>
      </c>
      <c r="G132" t="s">
        <v>252</v>
      </c>
      <c r="H132" s="125" t="s">
        <v>642</v>
      </c>
      <c r="I132" s="125" t="s">
        <v>135</v>
      </c>
      <c r="J132" s="128">
        <f>SUM(Tabela1[[#This Row],[jan./26]:[dez./26]])</f>
        <v>48.45</v>
      </c>
      <c r="K132" s="15">
        <f>Tabela1[[#This Row],[Coluna1]]/Tabela1[[#Totals],[Coluna1]]</f>
        <v>2.4816154297166811E-5</v>
      </c>
      <c r="L132" s="186"/>
      <c r="M132" s="186"/>
      <c r="N132" s="186"/>
      <c r="O132" s="186"/>
      <c r="P132" s="186">
        <v>48.45</v>
      </c>
      <c r="Q132" s="186"/>
      <c r="R132" s="186"/>
      <c r="S132" s="186"/>
      <c r="T132" s="186"/>
      <c r="U132" s="186"/>
      <c r="V132" s="186"/>
      <c r="W132" s="186"/>
    </row>
    <row r="133" spans="6:23">
      <c r="F133" s="125" t="s">
        <v>242</v>
      </c>
      <c r="G133" s="125" t="s">
        <v>252</v>
      </c>
      <c r="H133" s="125" t="s">
        <v>421</v>
      </c>
      <c r="I133" s="125" t="s">
        <v>232</v>
      </c>
      <c r="J133" s="128">
        <f>SUM(Tabela1[[#This Row],[jan./26]:[dez./26]])</f>
        <v>47.54</v>
      </c>
      <c r="K133" s="15">
        <f>Tabela1[[#This Row],[Coluna1]]/Tabela1[[#Totals],[Coluna1]]</f>
        <v>2.4350051089521362E-5</v>
      </c>
      <c r="L133" s="184">
        <v>23.77</v>
      </c>
      <c r="M133" s="184">
        <v>0</v>
      </c>
      <c r="N133" s="184">
        <v>23.77</v>
      </c>
      <c r="O133" s="186">
        <v>0</v>
      </c>
      <c r="P133" s="186"/>
      <c r="Q133" s="186"/>
      <c r="R133" s="186"/>
      <c r="S133" s="186"/>
      <c r="T133" s="186"/>
      <c r="U133" s="186"/>
      <c r="V133" s="186"/>
      <c r="W133" s="186"/>
    </row>
    <row r="134" spans="6:23">
      <c r="F134" s="125" t="s">
        <v>242</v>
      </c>
      <c r="G134" s="125" t="s">
        <v>561</v>
      </c>
      <c r="H134" s="125" t="s">
        <v>723</v>
      </c>
      <c r="I134" s="125" t="s">
        <v>134</v>
      </c>
      <c r="J134" s="128">
        <f>SUM(Tabela1[[#This Row],[jan./26]:[dez./26]])</f>
        <v>45.93</v>
      </c>
      <c r="K134" s="15">
        <f>Tabela1[[#This Row],[Coluna1]]/Tabela1[[#Totals],[Coluna1]]</f>
        <v>2.3525406952917883E-5</v>
      </c>
      <c r="L134" s="186"/>
      <c r="M134" s="186"/>
      <c r="N134" s="186"/>
      <c r="O134" s="186"/>
      <c r="P134" s="186"/>
      <c r="Q134" s="186">
        <v>21.98</v>
      </c>
      <c r="R134" s="186">
        <v>23.95</v>
      </c>
      <c r="S134" s="186"/>
      <c r="T134" s="186"/>
      <c r="U134" s="186"/>
      <c r="V134" s="186"/>
      <c r="W134" s="186"/>
    </row>
    <row r="135" spans="6:23">
      <c r="F135" s="125" t="s">
        <v>242</v>
      </c>
      <c r="G135" t="s">
        <v>271</v>
      </c>
      <c r="H135" s="125" t="s">
        <v>645</v>
      </c>
      <c r="I135" s="125" t="s">
        <v>136</v>
      </c>
      <c r="J135" s="128">
        <f>SUM(Tabela1[[#This Row],[jan./26]:[dez./26]])</f>
        <v>41.06</v>
      </c>
      <c r="K135" s="15">
        <f>Tabela1[[#This Row],[Coluna1]]/Tabela1[[#Totals],[Coluna1]]</f>
        <v>2.1030986490024133E-5</v>
      </c>
      <c r="L135" s="186"/>
      <c r="M135" s="186"/>
      <c r="N135" s="186"/>
      <c r="O135" s="186"/>
      <c r="P135" s="186">
        <v>13.59</v>
      </c>
      <c r="Q135" s="186">
        <v>13.59</v>
      </c>
      <c r="R135" s="186">
        <v>13.88</v>
      </c>
      <c r="S135" s="186"/>
      <c r="T135" s="186"/>
      <c r="U135" s="186"/>
      <c r="V135" s="186"/>
      <c r="W135" s="186"/>
    </row>
    <row r="136" spans="6:23">
      <c r="F136" s="125" t="s">
        <v>242</v>
      </c>
      <c r="G136" s="125" t="s">
        <v>245</v>
      </c>
      <c r="H136" s="125" t="s">
        <v>270</v>
      </c>
      <c r="I136" s="125" t="s">
        <v>235</v>
      </c>
      <c r="J136" s="128">
        <f>SUM(Tabela1[[#This Row],[jan./26]:[dez./26]])</f>
        <v>37.96</v>
      </c>
      <c r="K136" s="15">
        <f>Tabela1[[#This Row],[Coluna1]]/Tabela1[[#Totals],[Coluna1]]</f>
        <v>1.9443162376067121E-5</v>
      </c>
      <c r="L136" s="184">
        <v>1.02</v>
      </c>
      <c r="M136" s="184">
        <v>1.04</v>
      </c>
      <c r="N136" s="184">
        <v>1.04</v>
      </c>
      <c r="O136" s="186">
        <v>1.04</v>
      </c>
      <c r="P136" s="186">
        <v>1.04</v>
      </c>
      <c r="Q136" s="186">
        <v>1.05</v>
      </c>
      <c r="R136" s="186">
        <v>31.73</v>
      </c>
      <c r="S136" s="186"/>
      <c r="T136" s="186"/>
      <c r="U136" s="186"/>
      <c r="V136" s="186"/>
      <c r="W136" s="186"/>
    </row>
    <row r="137" spans="6:23">
      <c r="F137" s="125" t="s">
        <v>242</v>
      </c>
      <c r="G137" s="125" t="s">
        <v>245</v>
      </c>
      <c r="H137" s="125" t="s">
        <v>405</v>
      </c>
      <c r="I137" s="125" t="s">
        <v>138</v>
      </c>
      <c r="J137" s="128">
        <f>SUM(Tabela1[[#This Row],[jan./26]:[dez./26]])</f>
        <v>31.229999999999997</v>
      </c>
      <c r="K137" s="15">
        <f>Tabela1[[#This Row],[Coluna1]]/Tabela1[[#Totals],[Coluna1]]</f>
        <v>1.5996047444799162E-5</v>
      </c>
      <c r="L137" s="184">
        <v>15.62</v>
      </c>
      <c r="M137" s="184">
        <v>15.61</v>
      </c>
      <c r="N137" s="184">
        <v>0</v>
      </c>
      <c r="O137" s="186">
        <v>0</v>
      </c>
      <c r="P137" s="186"/>
      <c r="Q137" s="186"/>
      <c r="R137" s="186"/>
      <c r="S137" s="186"/>
      <c r="T137" s="186"/>
      <c r="U137" s="186"/>
      <c r="V137" s="186"/>
      <c r="W137" s="186"/>
    </row>
    <row r="138" spans="6:23">
      <c r="F138" s="125" t="s">
        <v>242</v>
      </c>
      <c r="G138" t="s">
        <v>252</v>
      </c>
      <c r="H138" s="125" t="s">
        <v>643</v>
      </c>
      <c r="I138" s="125" t="s">
        <v>235</v>
      </c>
      <c r="J138" s="128">
        <f>SUM(Tabela1[[#This Row],[jan./26]:[dez./26]])</f>
        <v>30.2</v>
      </c>
      <c r="K138" s="15">
        <f>Tabela1[[#This Row],[Coluna1]]/Tabela1[[#Totals],[Coluna1]]</f>
        <v>1.546848007790377E-5</v>
      </c>
      <c r="L138" s="186"/>
      <c r="M138" s="186"/>
      <c r="N138" s="186"/>
      <c r="O138" s="186"/>
      <c r="P138" s="186">
        <v>30.2</v>
      </c>
      <c r="Q138" s="186"/>
      <c r="R138" s="186"/>
      <c r="S138" s="186"/>
      <c r="T138" s="186"/>
      <c r="U138" s="186"/>
      <c r="V138" s="186"/>
      <c r="W138" s="186"/>
    </row>
    <row r="139" spans="6:23">
      <c r="F139" s="125" t="s">
        <v>242</v>
      </c>
      <c r="G139" s="125" t="s">
        <v>273</v>
      </c>
      <c r="H139" s="125" t="s">
        <v>297</v>
      </c>
      <c r="I139" s="125" t="s">
        <v>235</v>
      </c>
      <c r="J139" s="128">
        <f>SUM(Tabela1[[#This Row],[jan./26]:[dez./26]])</f>
        <v>16.66</v>
      </c>
      <c r="K139" s="15">
        <f>Tabela1[[#This Row],[Coluna1]]/Tabela1[[#Totals],[Coluna1]]</f>
        <v>8.5332741092012179E-6</v>
      </c>
      <c r="L139" s="186">
        <v>0</v>
      </c>
      <c r="M139" s="186">
        <v>5.4</v>
      </c>
      <c r="N139" s="186">
        <v>0</v>
      </c>
      <c r="O139" s="186">
        <v>5.63</v>
      </c>
      <c r="P139" s="186"/>
      <c r="Q139" s="186">
        <v>5.63</v>
      </c>
      <c r="R139" s="186"/>
      <c r="S139" s="186"/>
      <c r="T139" s="186"/>
      <c r="U139" s="186"/>
      <c r="V139" s="186"/>
      <c r="W139" s="186"/>
    </row>
    <row r="140" spans="6:23">
      <c r="F140" s="125" t="s">
        <v>242</v>
      </c>
      <c r="G140" s="125" t="s">
        <v>252</v>
      </c>
      <c r="H140" s="125" t="s">
        <v>733</v>
      </c>
      <c r="I140" s="125" t="s">
        <v>232</v>
      </c>
      <c r="J140" s="128">
        <f>SUM(Tabela1[[#This Row],[jan./26]:[dez./26]])</f>
        <v>14.97</v>
      </c>
      <c r="K140" s="15">
        <f>Tabela1[[#This Row],[Coluna1]]/Tabela1[[#Totals],[Coluna1]]</f>
        <v>7.6676538664311072E-6</v>
      </c>
      <c r="L140" s="186"/>
      <c r="M140" s="186"/>
      <c r="N140" s="186"/>
      <c r="O140" s="186"/>
      <c r="P140" s="186"/>
      <c r="Q140" s="186"/>
      <c r="R140" s="186">
        <v>14.97</v>
      </c>
      <c r="S140" s="186"/>
      <c r="T140" s="186"/>
      <c r="U140" s="186"/>
      <c r="V140" s="186"/>
      <c r="W140" s="186"/>
    </row>
    <row r="141" spans="6:23">
      <c r="F141" s="125" t="s">
        <v>242</v>
      </c>
      <c r="G141" s="125" t="s">
        <v>271</v>
      </c>
      <c r="H141" s="125" t="s">
        <v>429</v>
      </c>
      <c r="I141" s="125" t="s">
        <v>138</v>
      </c>
      <c r="J141" s="128">
        <f>SUM(Tabela1[[#This Row],[jan./26]:[dez./26]])</f>
        <v>13.59</v>
      </c>
      <c r="K141" s="15">
        <f>Tabela1[[#This Row],[Coluna1]]/Tabela1[[#Totals],[Coluna1]]</f>
        <v>6.9608160350566963E-6</v>
      </c>
      <c r="L141" s="184">
        <v>0</v>
      </c>
      <c r="M141" s="184">
        <v>0</v>
      </c>
      <c r="N141" s="184">
        <v>0</v>
      </c>
      <c r="O141" s="186">
        <v>13.59</v>
      </c>
      <c r="P141" s="186"/>
      <c r="Q141" s="186"/>
      <c r="R141" s="186"/>
      <c r="S141" s="186"/>
      <c r="T141" s="186"/>
      <c r="U141" s="186"/>
      <c r="V141" s="186"/>
      <c r="W141" s="186"/>
    </row>
    <row r="142" spans="6:23">
      <c r="F142" s="125" t="s">
        <v>242</v>
      </c>
      <c r="G142" t="s">
        <v>245</v>
      </c>
      <c r="H142" t="s">
        <v>735</v>
      </c>
      <c r="I142" s="125" t="s">
        <v>135</v>
      </c>
      <c r="J142" s="128">
        <f>SUM(Tabela1[[#This Row],[jan./26]:[dez./26]])</f>
        <v>10.47</v>
      </c>
      <c r="K142" s="15">
        <f>Tabela1[[#This Row],[Coluna1]]/Tabela1[[#Totals],[Coluna1]]</f>
        <v>5.3627478945580285E-6</v>
      </c>
      <c r="L142" s="184"/>
      <c r="M142" s="184"/>
      <c r="N142" s="184"/>
      <c r="O142" s="186"/>
      <c r="P142" s="186"/>
      <c r="Q142" s="186"/>
      <c r="R142" s="186">
        <v>10.47</v>
      </c>
      <c r="S142" s="186"/>
      <c r="T142" s="186"/>
      <c r="U142" s="186"/>
      <c r="V142" s="186"/>
      <c r="W142" s="186"/>
    </row>
    <row r="143" spans="6:23">
      <c r="F143" s="125" t="s">
        <v>242</v>
      </c>
      <c r="G143" s="125" t="s">
        <v>262</v>
      </c>
      <c r="H143" s="125" t="s">
        <v>292</v>
      </c>
      <c r="I143" s="125" t="s">
        <v>135</v>
      </c>
      <c r="J143" s="128">
        <f>SUM(Tabela1[[#This Row],[jan./26]:[dez./26]])</f>
        <v>1.96</v>
      </c>
      <c r="K143" s="15">
        <f>Tabela1[[#This Row],[Coluna1]]/Tabela1[[#Totals],[Coluna1]]</f>
        <v>1.0039146010824963E-6</v>
      </c>
      <c r="L143" s="186">
        <v>0</v>
      </c>
      <c r="M143" s="186">
        <v>1.28</v>
      </c>
      <c r="N143" s="186">
        <v>0.23</v>
      </c>
      <c r="O143" s="186">
        <v>0</v>
      </c>
      <c r="P143" s="186"/>
      <c r="Q143" s="186">
        <v>0.45</v>
      </c>
      <c r="R143" s="186"/>
      <c r="S143" s="186"/>
      <c r="T143" s="186"/>
      <c r="U143" s="186"/>
      <c r="V143" s="186"/>
      <c r="W143" s="186"/>
    </row>
    <row r="144" spans="6:23">
      <c r="F144" s="408" t="s">
        <v>150</v>
      </c>
      <c r="G144" s="408"/>
      <c r="H144" s="408"/>
      <c r="I144" s="408"/>
      <c r="J144" s="409">
        <f>SUBTOTAL(109,Tabela1[Coluna1])</f>
        <v>1952357.3000000005</v>
      </c>
      <c r="K144" s="410"/>
      <c r="L144" s="411">
        <f>SUBTOTAL(109,Tabela1[jan./26])</f>
        <v>298629.84999999998</v>
      </c>
      <c r="M144" s="411">
        <f>SUBTOTAL(109,Tabela1[fev./26])</f>
        <v>233326.08999999997</v>
      </c>
      <c r="N144" s="411">
        <f>SUBTOTAL(109,Tabela1[mar./26])</f>
        <v>271135.53999999986</v>
      </c>
      <c r="O144" s="411">
        <f>SUBTOTAL(109,Tabela1[abr./26])</f>
        <v>294999.40999999986</v>
      </c>
      <c r="P144" s="411">
        <f>SUBTOTAL(109,Tabela1[mai./26])</f>
        <v>280476.22999999975</v>
      </c>
      <c r="Q144" s="411">
        <f>SUBTOTAL(109,Tabela1[jun./26])</f>
        <v>294535.12999999995</v>
      </c>
      <c r="R144" s="411">
        <f>SUBTOTAL(109,Tabela1[jul./26])</f>
        <v>279255.04999999976</v>
      </c>
      <c r="S144" s="411">
        <f>SUBTOTAL(109,Tabela1[ago./26])</f>
        <v>0</v>
      </c>
      <c r="T144" s="411">
        <f>SUBTOTAL(109,Tabela1[set./26])</f>
        <v>0</v>
      </c>
      <c r="U144" s="411">
        <f>SUBTOTAL(109,Tabela1[out./26])</f>
        <v>0</v>
      </c>
      <c r="V144" s="411">
        <f>SUBTOTAL(109,Tabela1[nov./26])</f>
        <v>0</v>
      </c>
      <c r="W144" s="411">
        <f>SUBTOTAL(109,Tabela1[dez./26])</f>
        <v>0</v>
      </c>
    </row>
    <row r="145" spans="7:23">
      <c r="K145" s="15"/>
      <c r="L145" s="184"/>
      <c r="M145" s="184"/>
      <c r="N145" s="184"/>
      <c r="O145" s="186"/>
      <c r="P145" s="186"/>
      <c r="Q145" s="186"/>
      <c r="R145" s="186"/>
      <c r="S145" s="186"/>
      <c r="T145" s="186"/>
      <c r="U145" s="186"/>
      <c r="V145" s="186"/>
      <c r="W145" s="186"/>
    </row>
    <row r="146" spans="7:23">
      <c r="K146" s="15"/>
      <c r="L146" s="184"/>
      <c r="M146" s="184"/>
      <c r="N146" s="184"/>
      <c r="O146" s="186"/>
      <c r="P146" s="186"/>
      <c r="Q146" s="186"/>
      <c r="R146" s="186"/>
      <c r="S146" s="186"/>
      <c r="T146" s="186"/>
      <c r="U146" s="186"/>
      <c r="V146" s="186"/>
      <c r="W146" s="186"/>
    </row>
    <row r="147" spans="7:23">
      <c r="K147" s="132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</row>
    <row r="148" spans="7:23">
      <c r="K148" s="132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</row>
    <row r="149" spans="7:23">
      <c r="G149"/>
      <c r="H149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</row>
    <row r="150" spans="7:23">
      <c r="K150" s="15"/>
      <c r="L150" s="184"/>
      <c r="M150" s="184"/>
      <c r="N150" s="184"/>
      <c r="O150" s="186"/>
      <c r="P150" s="186"/>
      <c r="Q150" s="186"/>
      <c r="R150" s="186"/>
      <c r="S150" s="186"/>
      <c r="T150" s="186"/>
      <c r="U150" s="186"/>
      <c r="V150" s="186"/>
      <c r="W150" s="186"/>
    </row>
    <row r="151" spans="7:23">
      <c r="K151" s="15"/>
      <c r="L151" s="184"/>
      <c r="M151" s="184"/>
      <c r="N151" s="184"/>
      <c r="O151" s="186"/>
      <c r="P151" s="186"/>
      <c r="Q151" s="186"/>
      <c r="R151" s="186"/>
      <c r="S151" s="186"/>
      <c r="T151" s="186"/>
      <c r="U151" s="186"/>
      <c r="V151" s="186"/>
      <c r="W151" s="186"/>
    </row>
    <row r="152" spans="7:23">
      <c r="K152" s="15"/>
      <c r="L152" s="184"/>
      <c r="M152" s="184"/>
      <c r="N152" s="184"/>
      <c r="O152" s="186"/>
      <c r="P152" s="186"/>
      <c r="Q152" s="186"/>
      <c r="R152" s="186"/>
      <c r="S152" s="186"/>
      <c r="T152" s="186"/>
      <c r="U152" s="186"/>
      <c r="V152" s="186"/>
      <c r="W152" s="186"/>
    </row>
    <row r="153" spans="7:23">
      <c r="K153" s="15"/>
      <c r="L153" s="184"/>
      <c r="M153" s="184"/>
      <c r="N153" s="184"/>
      <c r="O153" s="186"/>
      <c r="P153" s="186"/>
      <c r="Q153" s="186"/>
      <c r="R153" s="186"/>
      <c r="S153" s="186"/>
      <c r="T153" s="186"/>
      <c r="U153" s="186"/>
      <c r="V153" s="186"/>
      <c r="W153" s="186"/>
    </row>
    <row r="154" spans="7:23">
      <c r="K154" s="15"/>
      <c r="L154" s="184"/>
      <c r="M154" s="184"/>
      <c r="N154" s="184"/>
      <c r="O154" s="186"/>
      <c r="P154" s="186"/>
      <c r="Q154" s="186"/>
      <c r="R154" s="186"/>
      <c r="S154" s="186"/>
      <c r="T154" s="186"/>
      <c r="U154" s="186"/>
      <c r="V154" s="186"/>
      <c r="W154" s="186"/>
    </row>
    <row r="155" spans="7:23"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</row>
    <row r="156" spans="7:23">
      <c r="K156" s="15"/>
      <c r="L156" s="184"/>
      <c r="M156" s="184"/>
      <c r="N156" s="184"/>
      <c r="O156" s="186"/>
      <c r="P156" s="186"/>
      <c r="Q156" s="186"/>
      <c r="R156" s="186"/>
      <c r="S156" s="186"/>
      <c r="T156" s="186"/>
      <c r="U156" s="186"/>
      <c r="V156" s="186"/>
      <c r="W156" s="186"/>
    </row>
  </sheetData>
  <phoneticPr fontId="43" type="noConversion"/>
  <conditionalFormatting sqref="H39:H81">
    <cfRule type="duplicateValues" dxfId="22" priority="1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AR154"/>
  <sheetViews>
    <sheetView topLeftCell="B1" zoomScale="79" zoomScaleNormal="79" workbookViewId="0">
      <selection activeCell="R29" sqref="R29"/>
    </sheetView>
  </sheetViews>
  <sheetFormatPr baseColWidth="10" defaultColWidth="10.83203125" defaultRowHeight="16" outlineLevelCol="3"/>
  <cols>
    <col min="1" max="3" width="10.83203125" style="125"/>
    <col min="4" max="4" width="9" style="125" customWidth="1"/>
    <col min="5" max="5" width="15.6640625" style="125" customWidth="1"/>
    <col min="6" max="6" width="10.83203125" style="125"/>
    <col min="7" max="7" width="38.6640625" style="125" customWidth="1"/>
    <col min="8" max="8" width="39.6640625" style="125" customWidth="1"/>
    <col min="9" max="12" width="25.5" style="125" customWidth="1"/>
    <col min="13" max="13" width="25.5" style="187" customWidth="1"/>
    <col min="14" max="14" width="16.5" style="126" customWidth="1"/>
    <col min="15" max="15" width="9.1640625" style="125" customWidth="1"/>
    <col min="16" max="17" width="13.83203125" style="125" customWidth="1" outlineLevel="2"/>
    <col min="18" max="19" width="13.83203125" style="125" customWidth="1" outlineLevel="3"/>
    <col min="20" max="20" width="16.1640625" style="125" customWidth="1" outlineLevel="1"/>
    <col min="21" max="22" width="13.5" style="125" bestFit="1" customWidth="1" outlineLevel="1"/>
    <col min="23" max="27" width="12.5" style="125" customWidth="1" outlineLevel="1"/>
    <col min="28" max="28" width="10.83203125" style="125"/>
    <col min="29" max="29" width="37" style="125" customWidth="1"/>
    <col min="30" max="30" width="19.33203125" style="125" customWidth="1"/>
    <col min="31" max="31" width="21" style="127" customWidth="1"/>
    <col min="32" max="32" width="14.1640625" style="125" customWidth="1"/>
    <col min="33" max="33" width="16.33203125" style="125" customWidth="1"/>
    <col min="34" max="34" width="15.5" style="186" bestFit="1" customWidth="1"/>
    <col min="35" max="35" width="14.5" style="125" bestFit="1" customWidth="1"/>
    <col min="36" max="36" width="10.83203125" style="125"/>
    <col min="37" max="37" width="14.1640625" style="125" bestFit="1" customWidth="1"/>
    <col min="38" max="39" width="16.5" style="127" customWidth="1"/>
    <col min="40" max="40" width="13.83203125" style="125" bestFit="1" customWidth="1"/>
    <col min="41" max="41" width="10.83203125" style="125"/>
    <col min="42" max="42" width="14.1640625" style="125" bestFit="1" customWidth="1"/>
    <col min="43" max="43" width="14.83203125" style="127" bestFit="1" customWidth="1"/>
    <col min="44" max="44" width="10.83203125" style="125"/>
    <col min="45" max="45" width="13.1640625" style="125" bestFit="1" customWidth="1"/>
    <col min="46" max="16384" width="10.83203125" style="125"/>
  </cols>
  <sheetData>
    <row r="3" spans="3:44" ht="15.75" customHeight="1">
      <c r="AF3" s="5"/>
    </row>
    <row r="4" spans="3:44" ht="15.75" customHeight="1">
      <c r="C4" s="143"/>
      <c r="AF4" s="5"/>
    </row>
    <row r="7" spans="3:44" ht="15.75" customHeight="1">
      <c r="AF7" s="126"/>
    </row>
    <row r="10" spans="3:44">
      <c r="AC10" s="399" t="s">
        <v>299</v>
      </c>
      <c r="AD10" s="129"/>
    </row>
    <row r="11" spans="3:44">
      <c r="AC11" s="399"/>
      <c r="AD11" s="129"/>
    </row>
    <row r="12" spans="3:44" ht="15.75" customHeight="1"/>
    <row r="13" spans="3:44" ht="15.75" customHeight="1">
      <c r="E13" s="126">
        <f>Tabela8[[#Totals],[YTD]]</f>
        <v>1810247.96</v>
      </c>
      <c r="F13" s="189"/>
      <c r="G13" s="130"/>
      <c r="H13" s="130"/>
      <c r="I13" s="130"/>
      <c r="J13" s="130"/>
      <c r="K13" s="130"/>
      <c r="L13" s="130"/>
      <c r="M13" s="190">
        <f>Tabela8[[#Totals],[Média]]</f>
        <v>339828.8382142859</v>
      </c>
      <c r="N13" s="124">
        <f>Tabela8[[#Totals],[YTD]]</f>
        <v>1810247.96</v>
      </c>
      <c r="O13" s="129" t="s">
        <v>220</v>
      </c>
      <c r="P13" s="190">
        <f>Tabela8[[#Totals],[jan./26]]</f>
        <v>435967.00000000012</v>
      </c>
      <c r="Q13" s="190">
        <f>Tabela8[[#Totals],[fev./26]]</f>
        <v>177386.35</v>
      </c>
      <c r="R13" s="190">
        <f>Tabela8[[#Totals],[mar./26]]</f>
        <v>204640.89999999991</v>
      </c>
      <c r="S13" s="190">
        <f>Tabela8[[#Totals],[abr./26]]</f>
        <v>248353.36000000007</v>
      </c>
      <c r="T13" s="190">
        <f>Tabela8[[#Totals],[mai/26]]</f>
        <v>202282.21999999991</v>
      </c>
      <c r="U13" s="190">
        <f>Tabela8[[#Totals],[jun/26]]</f>
        <v>234725.28999999998</v>
      </c>
      <c r="V13" s="190">
        <f>Tabela8[[#Totals],[jul/26]]</f>
        <v>306892.83999999997</v>
      </c>
      <c r="W13" s="190">
        <f>Tabela8[[#Totals],[ago/26]]</f>
        <v>0</v>
      </c>
      <c r="X13" s="190">
        <f>Tabela8[[#Totals],[set/26]]</f>
        <v>0</v>
      </c>
      <c r="Y13" s="190">
        <f>Tabela8[[#Totals],[out/26]]</f>
        <v>0</v>
      </c>
      <c r="Z13" s="190">
        <f>Tabela8[[#Totals],[nov/26]]</f>
        <v>0</v>
      </c>
      <c r="AA13" s="190">
        <f>Tabela8[[#Totals],[dez/26]]</f>
        <v>0</v>
      </c>
      <c r="AE13" s="128"/>
      <c r="AF13" s="126"/>
    </row>
    <row r="14" spans="3:44" ht="15.75" customHeight="1">
      <c r="F14" s="130" t="s">
        <v>221</v>
      </c>
      <c r="G14" s="130" t="s">
        <v>222</v>
      </c>
      <c r="H14" s="130" t="s">
        <v>6</v>
      </c>
      <c r="I14" s="130" t="s">
        <v>471</v>
      </c>
      <c r="J14" s="130" t="s">
        <v>472</v>
      </c>
      <c r="K14" s="130" t="s">
        <v>473</v>
      </c>
      <c r="L14" s="130" t="s">
        <v>474</v>
      </c>
      <c r="M14" s="190" t="s">
        <v>8</v>
      </c>
      <c r="N14" s="124" t="s">
        <v>300</v>
      </c>
      <c r="O14" s="131" t="s">
        <v>224</v>
      </c>
      <c r="P14" s="131" t="s">
        <v>388</v>
      </c>
      <c r="Q14" s="131" t="s">
        <v>389</v>
      </c>
      <c r="R14" s="131" t="s">
        <v>390</v>
      </c>
      <c r="S14" s="131" t="s">
        <v>391</v>
      </c>
      <c r="T14" s="262" t="s">
        <v>564</v>
      </c>
      <c r="U14" s="262" t="s">
        <v>565</v>
      </c>
      <c r="V14" s="262" t="s">
        <v>105</v>
      </c>
      <c r="W14" s="262" t="s">
        <v>106</v>
      </c>
      <c r="X14" s="262" t="s">
        <v>107</v>
      </c>
      <c r="Y14" s="262" t="s">
        <v>108</v>
      </c>
      <c r="Z14" s="262" t="s">
        <v>109</v>
      </c>
      <c r="AA14" s="262" t="s">
        <v>110</v>
      </c>
      <c r="AC14" s="130" t="s">
        <v>301</v>
      </c>
      <c r="AD14" s="135" t="s">
        <v>155</v>
      </c>
      <c r="AE14" s="124" t="s">
        <v>7</v>
      </c>
      <c r="AG14" s="129" t="s">
        <v>471</v>
      </c>
      <c r="AH14" s="190" t="s">
        <v>244</v>
      </c>
      <c r="AI14" s="190" t="s">
        <v>170</v>
      </c>
      <c r="AJ14" s="129" t="s">
        <v>155</v>
      </c>
      <c r="AL14" s="129" t="s">
        <v>472</v>
      </c>
      <c r="AM14" s="190" t="s">
        <v>244</v>
      </c>
      <c r="AN14" s="190" t="s">
        <v>714</v>
      </c>
      <c r="AO14" s="129" t="s">
        <v>155</v>
      </c>
      <c r="AQ14" s="125"/>
      <c r="AR14" s="127"/>
    </row>
    <row r="15" spans="3:44" ht="15.75" customHeight="1">
      <c r="F15" s="125" t="s">
        <v>447</v>
      </c>
      <c r="G15" s="125" t="s">
        <v>460</v>
      </c>
      <c r="H15" s="125" t="s">
        <v>311</v>
      </c>
      <c r="I15" s="125" t="s">
        <v>214</v>
      </c>
      <c r="J15" s="125" t="s">
        <v>475</v>
      </c>
      <c r="K15" s="125" t="s">
        <v>476</v>
      </c>
      <c r="M15" s="187">
        <f>AVERAGE(Tabela8[[#This Row],[jan./26]:[dez/26]])</f>
        <v>27672.654000000002</v>
      </c>
      <c r="N15" s="128">
        <f>SUM(Tabela8[[#This Row],[jan./26]:[dez/26]])</f>
        <v>138363.27000000002</v>
      </c>
      <c r="O15" s="19">
        <f>Tabela8[[#This Row],[YTD]]/Tabela8[[#Totals],[YTD]]</f>
        <v>7.6433324636918806E-2</v>
      </c>
      <c r="P15" s="184">
        <v>46113.85</v>
      </c>
      <c r="Q15" s="184">
        <v>0</v>
      </c>
      <c r="R15" s="184">
        <v>0</v>
      </c>
      <c r="S15" s="184">
        <v>43652.51</v>
      </c>
      <c r="T15" s="184"/>
      <c r="U15" s="184"/>
      <c r="V15" s="184">
        <v>48596.91</v>
      </c>
      <c r="W15" s="184"/>
      <c r="X15" s="184"/>
      <c r="Y15" s="184"/>
      <c r="Z15" s="184"/>
      <c r="AA15" s="184"/>
      <c r="AC15" s="130" t="s">
        <v>304</v>
      </c>
      <c r="AD15" s="19">
        <f>Tabela4[[#This Row],[Valor]]/Tabela4[[#Totals],[Valor]]</f>
        <v>0</v>
      </c>
      <c r="AE15" s="5">
        <f t="shared" ref="AE15:AE34" si="0">SUMIF($G$15:$G$132,AC15,$N$15:$N$132)</f>
        <v>0</v>
      </c>
      <c r="AF15" s="132"/>
      <c r="AG15" s="125" t="s">
        <v>214</v>
      </c>
      <c r="AH15" s="186">
        <f>SUMIF(Tabela8[Destino],Tabela10[[#This Row],[Destino]],Tabela8[YTD])</f>
        <v>384408.56</v>
      </c>
      <c r="AI15" s="186">
        <f>Tabela10[[#This Row],[R$]]/6</f>
        <v>64068.093333333331</v>
      </c>
      <c r="AJ15" s="191">
        <f>Tabela10[[#This Row],[R$]]/Tabela10[[#Totals],[R$]]</f>
        <v>0.19684956759196603</v>
      </c>
      <c r="AL15" s="125" t="s">
        <v>475</v>
      </c>
      <c r="AM15" s="187">
        <f>SUMIF(Tabela8[Natureza],Tabela11[[#This Row],[Natureza]],Tabela8[YTD])</f>
        <v>510059.31999999989</v>
      </c>
      <c r="AN15" s="187">
        <f>Tabela11[[#This Row],[R$]]/6</f>
        <v>85009.886666666644</v>
      </c>
      <c r="AO15" s="191">
        <f>Tabela11[[#This Row],[R$]]/Tabela11[[#Totals],[R$]]</f>
        <v>0.24454555317607374</v>
      </c>
      <c r="AQ15" s="125"/>
      <c r="AR15" s="127"/>
    </row>
    <row r="16" spans="3:44" ht="15.75" customHeight="1">
      <c r="F16" s="125" t="s">
        <v>447</v>
      </c>
      <c r="G16" s="125" t="s">
        <v>0</v>
      </c>
      <c r="H16" s="125" t="s">
        <v>713</v>
      </c>
      <c r="I16" s="125" t="s">
        <v>488</v>
      </c>
      <c r="J16" s="125" t="s">
        <v>478</v>
      </c>
      <c r="K16" s="125" t="s">
        <v>479</v>
      </c>
      <c r="M16" s="187">
        <f>AVERAGE(Tabela8[[#This Row],[jan./26]:[dez/26]])</f>
        <v>47191.020000000004</v>
      </c>
      <c r="N16" s="128">
        <f>SUM(Tabela8[[#This Row],[jan./26]:[dez/26]])</f>
        <v>94382.040000000008</v>
      </c>
      <c r="O16" s="19"/>
      <c r="P16" s="184"/>
      <c r="Q16" s="184"/>
      <c r="R16" s="184"/>
      <c r="S16" s="184"/>
      <c r="T16" s="186"/>
      <c r="U16" s="184">
        <v>50000</v>
      </c>
      <c r="V16" s="184">
        <v>44382.04</v>
      </c>
      <c r="W16" s="184"/>
      <c r="X16" s="184"/>
      <c r="Y16" s="184"/>
      <c r="Z16" s="184"/>
      <c r="AA16" s="184"/>
      <c r="AC16" s="130" t="s">
        <v>467</v>
      </c>
      <c r="AD16" s="19">
        <f>Tabela4[[#This Row],[Valor]]/Tabela4[[#Totals],[Valor]]</f>
        <v>0</v>
      </c>
      <c r="AE16" s="5">
        <f t="shared" si="0"/>
        <v>0</v>
      </c>
      <c r="AF16" s="126"/>
      <c r="AG16" s="125" t="s">
        <v>211</v>
      </c>
      <c r="AH16" s="186">
        <f>SUMIF(Tabela8[Destino],Tabela10[[#This Row],[Destino]],Tabela8[YTD])</f>
        <v>304491.74999999994</v>
      </c>
      <c r="AI16" s="186">
        <f>Tabela10[[#This Row],[R$]]/6</f>
        <v>50748.624999999993</v>
      </c>
      <c r="AJ16" s="191">
        <f>Tabela10[[#This Row],[R$]]/Tabela10[[#Totals],[R$]]</f>
        <v>0.15592542820279812</v>
      </c>
      <c r="AL16" s="125" t="s">
        <v>480</v>
      </c>
      <c r="AM16" s="187">
        <f>SUMIF(Tabela8[Natureza],Tabela11[[#This Row],[Natureza]],Tabela8[YTD])</f>
        <v>546469.68999999994</v>
      </c>
      <c r="AN16" s="187">
        <f>Tabela11[[#This Row],[R$]]/6</f>
        <v>91078.281666666662</v>
      </c>
      <c r="AO16" s="191">
        <f>Tabela11[[#This Row],[R$]]/Tabela11[[#Totals],[R$]]</f>
        <v>0.26200233462062322</v>
      </c>
      <c r="AQ16" s="125"/>
      <c r="AR16" s="127"/>
    </row>
    <row r="17" spans="6:44" ht="15.75" customHeight="1">
      <c r="F17" s="125" t="s">
        <v>447</v>
      </c>
      <c r="G17" s="125" t="s">
        <v>213</v>
      </c>
      <c r="H17" s="125" t="s">
        <v>302</v>
      </c>
      <c r="I17" s="125" t="s">
        <v>135</v>
      </c>
      <c r="J17" s="125" t="s">
        <v>493</v>
      </c>
      <c r="K17" s="125" t="s">
        <v>493</v>
      </c>
      <c r="M17" s="187">
        <f>AVERAGE(Tabela8[[#This Row],[jan./26]:[dez/26]])</f>
        <v>23881.181428571428</v>
      </c>
      <c r="N17" s="128">
        <f>SUM(Tabela8[[#This Row],[jan./26]:[dez/26]])</f>
        <v>167168.26999999999</v>
      </c>
      <c r="O17" s="19">
        <f>Tabela8[[#This Row],[YTD]]/Tabela8[[#Totals],[YTD]]</f>
        <v>9.2345509396403347E-2</v>
      </c>
      <c r="P17" s="184">
        <v>21632.2</v>
      </c>
      <c r="Q17" s="184">
        <v>21927.62</v>
      </c>
      <c r="R17" s="184">
        <v>25996.57</v>
      </c>
      <c r="S17" s="184">
        <v>24328.67</v>
      </c>
      <c r="T17" s="184">
        <v>24718.15</v>
      </c>
      <c r="U17" s="184">
        <v>24898.87</v>
      </c>
      <c r="V17" s="184">
        <v>23666.19</v>
      </c>
      <c r="W17" s="184"/>
      <c r="X17" s="184"/>
      <c r="Y17" s="184"/>
      <c r="Z17" s="184"/>
      <c r="AA17" s="184"/>
      <c r="AC17" s="130" t="s">
        <v>465</v>
      </c>
      <c r="AD17" s="19">
        <f>Tabela4[[#This Row],[Valor]]/Tabela4[[#Totals],[Valor]]</f>
        <v>0</v>
      </c>
      <c r="AE17" s="5">
        <f t="shared" si="0"/>
        <v>0</v>
      </c>
      <c r="AF17" s="126"/>
      <c r="AG17" s="125" t="s">
        <v>135</v>
      </c>
      <c r="AH17" s="186">
        <f>SUMIF(Tabela8[Destino],Tabela10[[#This Row],[Destino]],Tabela8[YTD])</f>
        <v>266340.19999999995</v>
      </c>
      <c r="AI17" s="186">
        <f>Tabela10[[#This Row],[R$]]/6</f>
        <v>44390.033333333326</v>
      </c>
      <c r="AJ17" s="191">
        <f>Tabela10[[#This Row],[R$]]/Tabela10[[#Totals],[R$]]</f>
        <v>0.13638862048846609</v>
      </c>
      <c r="AL17" s="125" t="s">
        <v>478</v>
      </c>
      <c r="AM17" s="187">
        <f>SUMIF(Tabela8[Natureza],Tabela11[[#This Row],[Natureza]],Tabela8[YTD])</f>
        <v>318191.41000000003</v>
      </c>
      <c r="AN17" s="187">
        <f>Tabela11[[#This Row],[R$]]/6</f>
        <v>53031.901666666672</v>
      </c>
      <c r="AO17" s="191">
        <f>Tabela11[[#This Row],[R$]]/Tabela11[[#Totals],[R$]]</f>
        <v>0.15255538193934953</v>
      </c>
      <c r="AQ17" s="125"/>
      <c r="AR17" s="127"/>
    </row>
    <row r="18" spans="6:44" ht="15.75" customHeight="1">
      <c r="F18" s="125" t="s">
        <v>447</v>
      </c>
      <c r="G18" s="125" t="s">
        <v>460</v>
      </c>
      <c r="H18" s="125" t="s">
        <v>320</v>
      </c>
      <c r="I18" s="125" t="s">
        <v>214</v>
      </c>
      <c r="J18" s="125" t="s">
        <v>475</v>
      </c>
      <c r="K18" s="125" t="s">
        <v>476</v>
      </c>
      <c r="M18" s="187">
        <f>AVERAGE(Tabela8[[#This Row],[jan./26]:[dez/26]])</f>
        <v>13099.062</v>
      </c>
      <c r="N18" s="128">
        <f>SUM(Tabela8[[#This Row],[jan./26]:[dez/26]])</f>
        <v>65495.31</v>
      </c>
      <c r="O18" s="19">
        <f>Tabela8[[#This Row],[YTD]]/Tabela8[[#Totals],[YTD]]</f>
        <v>3.6180297642760498E-2</v>
      </c>
      <c r="P18" s="184">
        <v>22134.44</v>
      </c>
      <c r="Q18" s="184">
        <v>0</v>
      </c>
      <c r="R18" s="184">
        <v>0</v>
      </c>
      <c r="S18" s="184">
        <v>20062.59</v>
      </c>
      <c r="T18" s="184"/>
      <c r="U18" s="184"/>
      <c r="V18" s="184">
        <v>23298.28</v>
      </c>
      <c r="W18" s="184"/>
      <c r="X18" s="184"/>
      <c r="Y18" s="184"/>
      <c r="Z18" s="184"/>
      <c r="AA18" s="184"/>
      <c r="AC18" s="130" t="s">
        <v>466</v>
      </c>
      <c r="AD18" s="19">
        <f>Tabela4[[#This Row],[Valor]]/Tabela4[[#Totals],[Valor]]</f>
        <v>0</v>
      </c>
      <c r="AE18" s="5">
        <f t="shared" si="0"/>
        <v>0</v>
      </c>
      <c r="AF18" s="126"/>
      <c r="AG18" s="125" t="s">
        <v>477</v>
      </c>
      <c r="AH18" s="186">
        <f>SUMIF(Tabela8[Destino],Tabela10[[#This Row],[Destino]],Tabela8[YTD])</f>
        <v>176017.16</v>
      </c>
      <c r="AI18" s="186">
        <f>Tabela10[[#This Row],[R$]]/6</f>
        <v>29336.193333333333</v>
      </c>
      <c r="AJ18" s="191">
        <f>Tabela10[[#This Row],[R$]]/Tabela10[[#Totals],[R$]]</f>
        <v>9.0135614656359109E-2</v>
      </c>
      <c r="AL18" s="125" t="s">
        <v>479</v>
      </c>
      <c r="AM18" s="187">
        <f>SUMIF(Tabela8[Natureza],Tabela11[[#This Row],[Natureza]],Tabela8[YTD])</f>
        <v>24886.61</v>
      </c>
      <c r="AN18" s="187">
        <f>Tabela11[[#This Row],[R$]]/6</f>
        <v>4147.7683333333334</v>
      </c>
      <c r="AO18" s="191">
        <f>Tabela11[[#This Row],[R$]]/Tabela11[[#Totals],[R$]]</f>
        <v>1.193176866002019E-2</v>
      </c>
      <c r="AQ18" s="125"/>
      <c r="AR18" s="127"/>
    </row>
    <row r="19" spans="6:44" ht="15.75" customHeight="1">
      <c r="F19" s="125" t="s">
        <v>447</v>
      </c>
      <c r="G19" s="125" t="s">
        <v>213</v>
      </c>
      <c r="H19" s="125" t="s">
        <v>303</v>
      </c>
      <c r="I19" s="125" t="s">
        <v>134</v>
      </c>
      <c r="J19" s="125" t="s">
        <v>493</v>
      </c>
      <c r="K19" s="125" t="s">
        <v>493</v>
      </c>
      <c r="M19" s="187">
        <f>AVERAGE(Tabela8[[#This Row],[jan./26]:[dez/26]])</f>
        <v>15145.405714285715</v>
      </c>
      <c r="N19" s="128">
        <f>SUM(Tabela8[[#This Row],[jan./26]:[dez/26]])</f>
        <v>106017.84</v>
      </c>
      <c r="O19" s="19">
        <f>Tabela8[[#This Row],[YTD]]/Tabela8[[#Totals],[YTD]]</f>
        <v>5.8565369133187696E-2</v>
      </c>
      <c r="P19" s="184">
        <v>15044.78</v>
      </c>
      <c r="Q19" s="184">
        <v>15000</v>
      </c>
      <c r="R19" s="184">
        <v>15183.32</v>
      </c>
      <c r="S19" s="184">
        <v>15183.05</v>
      </c>
      <c r="T19" s="184">
        <v>15332.8</v>
      </c>
      <c r="U19" s="184">
        <v>15091.16</v>
      </c>
      <c r="V19" s="184">
        <v>15182.73</v>
      </c>
      <c r="W19" s="184"/>
      <c r="X19" s="184"/>
      <c r="Y19" s="184"/>
      <c r="Z19" s="184"/>
      <c r="AA19" s="184"/>
      <c r="AC19" s="130" t="s">
        <v>464</v>
      </c>
      <c r="AD19" s="19">
        <f>Tabela4[[#This Row],[Valor]]/Tabela4[[#Totals],[Valor]]</f>
        <v>0</v>
      </c>
      <c r="AE19" s="5">
        <f t="shared" si="0"/>
        <v>0</v>
      </c>
      <c r="AF19" s="126"/>
      <c r="AG19" s="125" t="s">
        <v>212</v>
      </c>
      <c r="AH19" s="186">
        <f>SUMIF(Tabela8[Destino],Tabela10[[#This Row],[Destino]],Tabela8[YTD])</f>
        <v>126213.17</v>
      </c>
      <c r="AI19" s="186">
        <f>Tabela10[[#This Row],[R$]]/6</f>
        <v>21035.528333333332</v>
      </c>
      <c r="AJ19" s="191">
        <f>Tabela10[[#This Row],[R$]]/Tabela10[[#Totals],[R$]]</f>
        <v>6.4631775990917836E-2</v>
      </c>
      <c r="AL19" s="125" t="s">
        <v>493</v>
      </c>
      <c r="AM19" s="187">
        <f>SUMIF(Tabela8[Natureza],Tabela11[[#This Row],[Natureza]],Tabela8[YTD])</f>
        <v>686136.55999999994</v>
      </c>
      <c r="AN19" s="187">
        <f>Tabela11[[#This Row],[R$]]/6</f>
        <v>114356.09333333332</v>
      </c>
      <c r="AO19" s="191">
        <f>Tabela11[[#This Row],[R$]]/Tabela11[[#Totals],[R$]]</f>
        <v>0.32896496160393329</v>
      </c>
      <c r="AQ19" s="125"/>
      <c r="AR19" s="127"/>
    </row>
    <row r="20" spans="6:44" ht="15.75" customHeight="1">
      <c r="F20" s="125" t="s">
        <v>447</v>
      </c>
      <c r="G20" s="125" t="s">
        <v>213</v>
      </c>
      <c r="H20" s="125" t="s">
        <v>305</v>
      </c>
      <c r="I20" s="125" t="s">
        <v>136</v>
      </c>
      <c r="J20" s="125" t="s">
        <v>493</v>
      </c>
      <c r="K20" s="125" t="s">
        <v>493</v>
      </c>
      <c r="M20" s="187">
        <f>AVERAGE(Tabela8[[#This Row],[jan./26]:[dez/26]])</f>
        <v>13619.894285714287</v>
      </c>
      <c r="N20" s="128">
        <f>SUM(Tabela8[[#This Row],[jan./26]:[dez/26]])</f>
        <v>95339.260000000009</v>
      </c>
      <c r="O20" s="19">
        <f>Tabela8[[#This Row],[YTD]]/Tabela8[[#Totals],[YTD]]</f>
        <v>5.2666409302292494E-2</v>
      </c>
      <c r="P20" s="184">
        <v>11936.26</v>
      </c>
      <c r="Q20" s="184">
        <v>11942.71</v>
      </c>
      <c r="R20" s="184">
        <v>18966.669999999998</v>
      </c>
      <c r="S20" s="184">
        <v>11953.33</v>
      </c>
      <c r="T20" s="184">
        <v>10540.29</v>
      </c>
      <c r="U20" s="184">
        <v>15000</v>
      </c>
      <c r="V20" s="184">
        <v>15000</v>
      </c>
      <c r="W20" s="184"/>
      <c r="X20" s="184"/>
      <c r="Y20" s="184"/>
      <c r="Z20" s="184"/>
      <c r="AA20" s="184"/>
      <c r="AC20" s="130" t="s">
        <v>316</v>
      </c>
      <c r="AD20" s="19">
        <f>Tabela4[[#This Row],[Valor]]/Tabela4[[#Totals],[Valor]]</f>
        <v>0</v>
      </c>
      <c r="AE20" s="5">
        <f t="shared" si="0"/>
        <v>0</v>
      </c>
      <c r="AF20" s="126"/>
      <c r="AG20" s="125" t="s">
        <v>151</v>
      </c>
      <c r="AH20" s="186">
        <f>SUMIF(Tabela8[Destino],Tabela10[[#This Row],[Destino]],Tabela8[YTD])</f>
        <v>114538.51999999999</v>
      </c>
      <c r="AI20" s="186">
        <f>Tabela10[[#This Row],[R$]]/6</f>
        <v>19089.75333333333</v>
      </c>
      <c r="AJ20" s="191">
        <f>Tabela10[[#This Row],[R$]]/Tabela10[[#Totals],[R$]]</f>
        <v>5.8653371648705613E-2</v>
      </c>
      <c r="AL20" s="125" t="s">
        <v>150</v>
      </c>
      <c r="AM20" s="187">
        <f>SUBTOTAL(109,Tabela11[R$])</f>
        <v>2085743.5899999999</v>
      </c>
      <c r="AN20" s="187">
        <f>SUBTOTAL(109,Tabela11[/6])</f>
        <v>347623.93166666664</v>
      </c>
      <c r="AQ20" s="125"/>
      <c r="AR20" s="127"/>
    </row>
    <row r="21" spans="6:44" ht="15.75" customHeight="1">
      <c r="F21" s="125" t="s">
        <v>447</v>
      </c>
      <c r="G21" s="125" t="s">
        <v>213</v>
      </c>
      <c r="H21" s="125" t="s">
        <v>307</v>
      </c>
      <c r="I21" s="125" t="s">
        <v>151</v>
      </c>
      <c r="J21" s="125" t="s">
        <v>493</v>
      </c>
      <c r="K21" s="125" t="s">
        <v>493</v>
      </c>
      <c r="M21" s="187">
        <f>AVERAGE(Tabela8[[#This Row],[jan./26]:[dez/26]])</f>
        <v>15288.451428571427</v>
      </c>
      <c r="N21" s="128">
        <f>SUM(Tabela8[[#This Row],[jan./26]:[dez/26]])</f>
        <v>107019.15999999999</v>
      </c>
      <c r="O21" s="19">
        <f>Tabela8[[#This Row],[YTD]]/Tabela8[[#Totals],[YTD]]</f>
        <v>5.9118508825719097E-2</v>
      </c>
      <c r="P21" s="184">
        <v>15538.48</v>
      </c>
      <c r="Q21" s="184">
        <v>17683.57</v>
      </c>
      <c r="R21" s="184">
        <v>13426.48</v>
      </c>
      <c r="S21" s="184">
        <v>13992.28</v>
      </c>
      <c r="T21" s="184">
        <v>16322.97</v>
      </c>
      <c r="U21" s="184">
        <v>15481.37</v>
      </c>
      <c r="V21" s="184">
        <v>14574.01</v>
      </c>
      <c r="W21" s="184"/>
      <c r="X21" s="184"/>
      <c r="Y21" s="184"/>
      <c r="Z21" s="184"/>
      <c r="AA21" s="184"/>
      <c r="AC21" s="130" t="s">
        <v>462</v>
      </c>
      <c r="AD21" s="19">
        <f>Tabela4[[#This Row],[Valor]]/Tabela4[[#Totals],[Valor]]</f>
        <v>0</v>
      </c>
      <c r="AE21" s="5">
        <f t="shared" si="0"/>
        <v>0</v>
      </c>
      <c r="AF21" s="126"/>
      <c r="AG21" s="125" t="s">
        <v>134</v>
      </c>
      <c r="AH21" s="186">
        <f>SUMIF(Tabela8[Destino],Tabela10[[#This Row],[Destino]],Tabela8[YTD])</f>
        <v>106993.15</v>
      </c>
      <c r="AI21" s="186">
        <f>Tabela10[[#This Row],[R$]]/6</f>
        <v>17832.191666666666</v>
      </c>
      <c r="AJ21" s="191">
        <f>Tabela10[[#This Row],[R$]]/Tabela10[[#Totals],[R$]]</f>
        <v>5.4789506541691887E-2</v>
      </c>
      <c r="AL21" s="125"/>
      <c r="AN21" s="127"/>
      <c r="AQ21" s="125"/>
      <c r="AR21" s="127"/>
    </row>
    <row r="22" spans="6:44" ht="15.75" customHeight="1">
      <c r="F22" s="125" t="s">
        <v>447</v>
      </c>
      <c r="G22" s="125" t="s">
        <v>460</v>
      </c>
      <c r="H22" s="125" t="s">
        <v>662</v>
      </c>
      <c r="I22" s="125" t="s">
        <v>214</v>
      </c>
      <c r="J22" s="125" t="s">
        <v>475</v>
      </c>
      <c r="K22" s="125" t="s">
        <v>476</v>
      </c>
      <c r="M22" s="187">
        <f>AVERAGE(Tabela8[[#This Row],[jan./26]:[dez/26]])</f>
        <v>12325.454285714286</v>
      </c>
      <c r="N22" s="128">
        <f>SUM(Tabela8[[#This Row],[jan./26]:[dez/26]])</f>
        <v>86278.180000000008</v>
      </c>
      <c r="O22" s="19">
        <f>Tabela8[[#This Row],[YTD]]/Tabela8[[#Totals],[YTD]]</f>
        <v>4.7660973472385522E-2</v>
      </c>
      <c r="P22" s="184">
        <v>13010.69</v>
      </c>
      <c r="Q22" s="184">
        <v>11339.32</v>
      </c>
      <c r="R22" s="184">
        <v>13477.14</v>
      </c>
      <c r="S22" s="184">
        <v>10014.48</v>
      </c>
      <c r="T22" s="184">
        <v>11165.35</v>
      </c>
      <c r="U22" s="184">
        <v>13000.98</v>
      </c>
      <c r="V22" s="184">
        <v>14270.22</v>
      </c>
      <c r="W22" s="184"/>
      <c r="X22" s="184"/>
      <c r="Y22" s="184"/>
      <c r="Z22" s="184"/>
      <c r="AA22" s="184"/>
      <c r="AC22" s="130" t="s">
        <v>463</v>
      </c>
      <c r="AD22" s="19">
        <f>Tabela4[[#This Row],[Valor]]/Tabela4[[#Totals],[Valor]]</f>
        <v>0</v>
      </c>
      <c r="AE22" s="5">
        <f t="shared" si="0"/>
        <v>0</v>
      </c>
      <c r="AF22" s="126"/>
      <c r="AG22" s="125" t="s">
        <v>136</v>
      </c>
      <c r="AH22" s="186">
        <f>SUMIF(Tabela8[Destino],Tabela10[[#This Row],[Destino]],Tabela8[YTD])</f>
        <v>100894.40000000001</v>
      </c>
      <c r="AI22" s="186">
        <f>Tabela10[[#This Row],[R$]]/6</f>
        <v>16815.733333333334</v>
      </c>
      <c r="AJ22" s="191">
        <f>Tabela10[[#This Row],[R$]]/Tabela10[[#Totals],[R$]]</f>
        <v>5.1666432746583113E-2</v>
      </c>
      <c r="AL22" s="125"/>
      <c r="AN22" s="127"/>
      <c r="AQ22" s="125"/>
      <c r="AR22" s="127"/>
    </row>
    <row r="23" spans="6:44" ht="15.75" customHeight="1">
      <c r="F23" s="125" t="s">
        <v>447</v>
      </c>
      <c r="G23" s="125" t="s">
        <v>665</v>
      </c>
      <c r="H23" s="125" t="s">
        <v>322</v>
      </c>
      <c r="I23" s="125" t="s">
        <v>212</v>
      </c>
      <c r="J23" s="125" t="s">
        <v>480</v>
      </c>
      <c r="K23" s="125" t="s">
        <v>486</v>
      </c>
      <c r="M23" s="187">
        <f>AVERAGE(Tabela8[[#This Row],[jan./26]:[dez/26]])</f>
        <v>3071.4285714285716</v>
      </c>
      <c r="N23" s="128">
        <f>SUM(Tabela8[[#This Row],[jan./26]:[dez/26]])</f>
        <v>21500</v>
      </c>
      <c r="O23" s="19">
        <f>Tabela8[[#This Row],[YTD]]/Tabela8[[#Totals],[YTD]]</f>
        <v>1.1876825979132715E-2</v>
      </c>
      <c r="P23" s="184">
        <v>2000</v>
      </c>
      <c r="Q23" s="184">
        <v>2000</v>
      </c>
      <c r="R23" s="184">
        <v>2000</v>
      </c>
      <c r="S23" s="184">
        <v>2000</v>
      </c>
      <c r="T23" s="184">
        <v>2000</v>
      </c>
      <c r="U23" s="184">
        <v>2000</v>
      </c>
      <c r="V23" s="184">
        <v>9500</v>
      </c>
      <c r="W23" s="184"/>
      <c r="X23" s="184"/>
      <c r="Y23" s="184"/>
      <c r="Z23" s="184"/>
      <c r="AA23" s="184"/>
      <c r="AC23" s="130" t="s">
        <v>456</v>
      </c>
      <c r="AD23" s="19">
        <f>Tabela4[[#This Row],[Valor]]/Tabela4[[#Totals],[Valor]]</f>
        <v>5.1179835963507756E-7</v>
      </c>
      <c r="AE23" s="5">
        <f t="shared" si="0"/>
        <v>0.8</v>
      </c>
      <c r="AF23" s="126"/>
      <c r="AG23" s="125" t="s">
        <v>488</v>
      </c>
      <c r="AH23" s="186">
        <f>SUMIF(Tabela8[Destino],Tabela10[[#This Row],[Destino]],Tabela8[YTD])</f>
        <v>125217.57</v>
      </c>
      <c r="AI23" s="186">
        <f>Tabela10[[#This Row],[R$]]/6</f>
        <v>20869.595000000001</v>
      </c>
      <c r="AJ23" s="191">
        <f>Tabela10[[#This Row],[R$]]/Tabela10[[#Totals],[R$]]</f>
        <v>6.4121944915630238E-2</v>
      </c>
      <c r="AL23" s="125"/>
      <c r="AN23" s="127"/>
      <c r="AQ23" s="125"/>
      <c r="AR23" s="127"/>
    </row>
    <row r="24" spans="6:44" ht="15.75" customHeight="1">
      <c r="F24" s="125" t="s">
        <v>447</v>
      </c>
      <c r="G24" s="125" t="s">
        <v>669</v>
      </c>
      <c r="H24" s="125" t="s">
        <v>309</v>
      </c>
      <c r="I24" s="125" t="s">
        <v>484</v>
      </c>
      <c r="J24" s="125" t="s">
        <v>480</v>
      </c>
      <c r="K24" s="125" t="s">
        <v>476</v>
      </c>
      <c r="M24" s="187">
        <f>AVERAGE(Tabela8[[#This Row],[jan./26]:[dez/26]])</f>
        <v>9525.3485714285725</v>
      </c>
      <c r="N24" s="128">
        <f>SUM(Tabela8[[#This Row],[jan./26]:[dez/26]])</f>
        <v>66677.440000000002</v>
      </c>
      <c r="O24" s="19">
        <f>Tabela8[[#This Row],[YTD]]/Tabela8[[#Totals],[YTD]]</f>
        <v>3.6833318679723857E-2</v>
      </c>
      <c r="P24" s="184">
        <v>10236.57</v>
      </c>
      <c r="Q24" s="184">
        <v>9841.16</v>
      </c>
      <c r="R24" s="184">
        <v>8739.58</v>
      </c>
      <c r="S24" s="184">
        <v>10077.969999999999</v>
      </c>
      <c r="T24" s="184">
        <v>9270.0300000000007</v>
      </c>
      <c r="U24" s="184">
        <v>9126.1200000000008</v>
      </c>
      <c r="V24" s="184">
        <v>9386.01</v>
      </c>
      <c r="W24" s="184"/>
      <c r="X24" s="184"/>
      <c r="Y24" s="184"/>
      <c r="Z24" s="184"/>
      <c r="AA24" s="184"/>
      <c r="AC24" s="130" t="s">
        <v>310</v>
      </c>
      <c r="AD24" s="19">
        <f>Tabela4[[#This Row],[Valor]]/Tabela4[[#Totals],[Valor]]</f>
        <v>5.3545623880920897E-4</v>
      </c>
      <c r="AE24" s="5">
        <f t="shared" si="0"/>
        <v>836.98</v>
      </c>
      <c r="AF24" s="126"/>
      <c r="AG24" s="125" t="s">
        <v>445</v>
      </c>
      <c r="AH24" s="186">
        <f>SUMIF(Tabela8[Destino],Tabela10[[#This Row],[Destino]],Tabela8[YTD])</f>
        <v>84566.010000000009</v>
      </c>
      <c r="AI24" s="186">
        <f>Tabela10[[#This Row],[R$]]/6</f>
        <v>14094.335000000001</v>
      </c>
      <c r="AJ24" s="191">
        <f>Tabela10[[#This Row],[R$]]/Tabela10[[#Totals],[R$]]</f>
        <v>4.330492146553104E-2</v>
      </c>
      <c r="AL24" s="125"/>
      <c r="AN24" s="127"/>
      <c r="AQ24" s="125"/>
      <c r="AR24" s="127"/>
    </row>
    <row r="25" spans="6:44" ht="15.75" hidden="1" customHeight="1">
      <c r="F25" s="125" t="s">
        <v>242</v>
      </c>
      <c r="G25" s="125" t="s">
        <v>213</v>
      </c>
      <c r="H25" s="125" t="s">
        <v>649</v>
      </c>
      <c r="I25" s="125" t="s">
        <v>135</v>
      </c>
      <c r="J25" s="125" t="s">
        <v>493</v>
      </c>
      <c r="K25" s="125" t="s">
        <v>493</v>
      </c>
      <c r="M25" s="187">
        <f>AVERAGE(Tabela8[[#This Row],[jan./26]:[dez/26]])</f>
        <v>8453.1328571428567</v>
      </c>
      <c r="N25" s="128">
        <f>SUM(Tabela8[[#This Row],[jan./26]:[dez/26]])</f>
        <v>59171.929999999993</v>
      </c>
      <c r="O25" s="19">
        <f>Tabela8[[#This Row],[YTD]]/Tabela8[[#Totals],[YTD]]</f>
        <v>3.2687196067880113E-2</v>
      </c>
      <c r="P25" s="184">
        <v>5488.47</v>
      </c>
      <c r="Q25" s="184">
        <v>8429.14</v>
      </c>
      <c r="R25" s="184">
        <v>8905.17</v>
      </c>
      <c r="S25" s="184">
        <v>11479.03</v>
      </c>
      <c r="T25" s="184">
        <v>8636.4599999999991</v>
      </c>
      <c r="U25" s="184">
        <v>11075.68</v>
      </c>
      <c r="V25" s="184">
        <v>5157.9799999999996</v>
      </c>
      <c r="W25" s="184"/>
      <c r="X25" s="184"/>
      <c r="Y25" s="184"/>
      <c r="Z25" s="184"/>
      <c r="AA25" s="184"/>
      <c r="AC25" s="130" t="s">
        <v>308</v>
      </c>
      <c r="AD25" s="19">
        <f>Tabela4[[#This Row],[Valor]]/Tabela4[[#Totals],[Valor]]</f>
        <v>8.2108450584205035E-4</v>
      </c>
      <c r="AE25" s="5">
        <f t="shared" si="0"/>
        <v>1283.45</v>
      </c>
      <c r="AF25" s="126"/>
      <c r="AG25" s="125" t="s">
        <v>469</v>
      </c>
      <c r="AH25" s="186">
        <f>SUMIF(Tabela8[Destino],Tabela10[[#This Row],[Destino]],Tabela8[YTD])</f>
        <v>81049.64</v>
      </c>
      <c r="AI25" s="186">
        <f>Tabela10[[#This Row],[R$]]/6</f>
        <v>13508.273333333333</v>
      </c>
      <c r="AJ25" s="191">
        <f>Tabela10[[#This Row],[R$]]/Tabela10[[#Totals],[R$]]</f>
        <v>4.1504243785529943E-2</v>
      </c>
      <c r="AL25" s="125"/>
      <c r="AN25" s="127"/>
      <c r="AQ25" s="125"/>
      <c r="AR25" s="127"/>
    </row>
    <row r="26" spans="6:44" ht="15.75" customHeight="1">
      <c r="F26" s="125" t="s">
        <v>447</v>
      </c>
      <c r="G26" s="125" t="s">
        <v>460</v>
      </c>
      <c r="H26" s="125" t="s">
        <v>312</v>
      </c>
      <c r="I26" s="125" t="s">
        <v>214</v>
      </c>
      <c r="J26" s="125" t="s">
        <v>475</v>
      </c>
      <c r="K26" s="125" t="s">
        <v>476</v>
      </c>
      <c r="M26" s="187">
        <f>AVERAGE(Tabela8[[#This Row],[jan./26]:[dez/26]])</f>
        <v>7395.261428571429</v>
      </c>
      <c r="N26" s="128">
        <f>SUM(Tabela8[[#This Row],[jan./26]:[dez/26]])</f>
        <v>51766.83</v>
      </c>
      <c r="O26" s="19">
        <f>Tabela8[[#This Row],[YTD]]/Tabela8[[#Totals],[YTD]]</f>
        <v>2.8596540995411483E-2</v>
      </c>
      <c r="P26" s="184">
        <v>7806.41</v>
      </c>
      <c r="Q26" s="184">
        <v>6803.59</v>
      </c>
      <c r="R26" s="184">
        <v>8086.27</v>
      </c>
      <c r="S26" s="184">
        <v>6008.67</v>
      </c>
      <c r="T26" s="184">
        <v>6699.2</v>
      </c>
      <c r="U26" s="184">
        <v>7800.57</v>
      </c>
      <c r="V26" s="184">
        <v>8562.1200000000008</v>
      </c>
      <c r="W26" s="184"/>
      <c r="X26" s="184"/>
      <c r="Y26" s="184"/>
      <c r="Z26" s="184"/>
      <c r="AA26" s="184"/>
      <c r="AC26" s="130" t="s">
        <v>306</v>
      </c>
      <c r="AD26" s="19">
        <f>Tabela4[[#This Row],[Valor]]/Tabela4[[#Totals],[Valor]]</f>
        <v>2.1226261192710248E-3</v>
      </c>
      <c r="AE26" s="5">
        <f t="shared" si="0"/>
        <v>3317.91</v>
      </c>
      <c r="AF26" s="126"/>
      <c r="AG26" s="125" t="s">
        <v>484</v>
      </c>
      <c r="AH26" s="186">
        <f>SUMIF(Tabela8[Destino],Tabela10[[#This Row],[Destino]],Tabela8[YTD])</f>
        <v>66677.440000000002</v>
      </c>
      <c r="AI26" s="186">
        <f>Tabela10[[#This Row],[R$]]/6</f>
        <v>11112.906666666668</v>
      </c>
      <c r="AJ26" s="191">
        <f>Tabela10[[#This Row],[R$]]/Tabela10[[#Totals],[R$]]</f>
        <v>3.4144466585601684E-2</v>
      </c>
      <c r="AL26" s="129" t="s">
        <v>473</v>
      </c>
      <c r="AM26" s="190" t="s">
        <v>244</v>
      </c>
      <c r="AN26" s="129" t="s">
        <v>714</v>
      </c>
      <c r="AO26" s="129" t="s">
        <v>155</v>
      </c>
      <c r="AQ26" s="125"/>
      <c r="AR26" s="127"/>
    </row>
    <row r="27" spans="6:44" ht="15.75" hidden="1" customHeight="1">
      <c r="F27" s="125" t="s">
        <v>242</v>
      </c>
      <c r="G27" s="125" t="s">
        <v>648</v>
      </c>
      <c r="H27" s="125" t="s">
        <v>319</v>
      </c>
      <c r="I27" s="125" t="s">
        <v>211</v>
      </c>
      <c r="J27" s="125" t="s">
        <v>480</v>
      </c>
      <c r="K27" s="125" t="s">
        <v>486</v>
      </c>
      <c r="M27" s="187">
        <f>AVERAGE(Tabela8[[#This Row],[jan./26]:[dez/26]])</f>
        <v>7408.2016666666668</v>
      </c>
      <c r="N27" s="128">
        <f>SUM(Tabela8[[#This Row],[jan./26]:[dez/26]])</f>
        <v>44449.21</v>
      </c>
      <c r="O27" s="19">
        <f>Tabela8[[#This Row],[YTD]]/Tabela8[[#Totals],[YTD]]</f>
        <v>2.4554210794415148E-2</v>
      </c>
      <c r="P27" s="184">
        <v>7120.49</v>
      </c>
      <c r="Q27" s="184">
        <v>7284.04</v>
      </c>
      <c r="R27" s="184">
        <v>5797.65</v>
      </c>
      <c r="S27" s="184">
        <v>5238.46</v>
      </c>
      <c r="T27" s="184">
        <v>11747.78</v>
      </c>
      <c r="U27" s="184"/>
      <c r="V27" s="184">
        <v>7260.79</v>
      </c>
      <c r="W27" s="184"/>
      <c r="X27" s="184"/>
      <c r="Y27" s="184"/>
      <c r="Z27" s="184"/>
      <c r="AA27" s="184"/>
      <c r="AC27" s="130" t="s">
        <v>324</v>
      </c>
      <c r="AD27" s="19">
        <f>Tabela4[[#This Row],[Valor]]/Tabela4[[#Totals],[Valor]]</f>
        <v>4.2688461429212267E-3</v>
      </c>
      <c r="AE27" s="5">
        <f t="shared" si="0"/>
        <v>6672.6999999999989</v>
      </c>
      <c r="AG27" s="125" t="s">
        <v>138</v>
      </c>
      <c r="AH27" s="186">
        <f>SUMIF(Tabela8[Destino],Tabela10[[#This Row],[Destino]],Tabela8[YTD])</f>
        <v>51890.270000000004</v>
      </c>
      <c r="AI27" s="186">
        <f>Tabela10[[#This Row],[R$]]/6</f>
        <v>8648.378333333334</v>
      </c>
      <c r="AJ27" s="191">
        <f>Tabela10[[#This Row],[R$]]/Tabela10[[#Totals],[R$]]</f>
        <v>2.6572189786123305E-2</v>
      </c>
      <c r="AL27" s="125" t="s">
        <v>476</v>
      </c>
      <c r="AM27" s="187">
        <f>SUMIF(Tabela8[Utilidade],Tabela12[[#This Row],[Utilidade]],Tabela8[YTD])</f>
        <v>465538.04</v>
      </c>
      <c r="AN27" s="186">
        <f>Tabela12[[#This Row],[R$]]/6</f>
        <v>77589.673333333325</v>
      </c>
      <c r="AO27" s="191">
        <f>Tabela12[[#This Row],[R$]]/Tabela12[[#Totals],[R$]]</f>
        <v>0.28733270294006835</v>
      </c>
      <c r="AQ27" s="125"/>
      <c r="AR27" s="127"/>
    </row>
    <row r="28" spans="6:44" ht="15.75" customHeight="1">
      <c r="F28" s="125" t="s">
        <v>447</v>
      </c>
      <c r="G28" s="125" t="s">
        <v>394</v>
      </c>
      <c r="H28" t="s">
        <v>661</v>
      </c>
      <c r="I28" s="125" t="s">
        <v>445</v>
      </c>
      <c r="J28" s="125" t="s">
        <v>480</v>
      </c>
      <c r="K28" s="125" t="s">
        <v>481</v>
      </c>
      <c r="M28" s="187">
        <f>AVERAGE(Tabela8[[#This Row],[jan./26]:[dez/26]])</f>
        <v>7100</v>
      </c>
      <c r="N28" s="128">
        <f>SUM(Tabela8[[#This Row],[jan./26]:[dez/26]])</f>
        <v>49700</v>
      </c>
      <c r="O28" s="19">
        <f>Tabela8[[#This Row],[YTD]]/Tabela8[[#Totals],[YTD]]</f>
        <v>2.7454802379669577E-2</v>
      </c>
      <c r="P28" s="184">
        <v>7100</v>
      </c>
      <c r="Q28" s="184">
        <v>7100</v>
      </c>
      <c r="R28" s="184">
        <v>7100</v>
      </c>
      <c r="S28" s="184">
        <v>7100</v>
      </c>
      <c r="T28" s="184">
        <v>7100</v>
      </c>
      <c r="U28" s="184">
        <v>7100</v>
      </c>
      <c r="V28" s="184">
        <v>7100</v>
      </c>
      <c r="W28" s="184"/>
      <c r="X28" s="184"/>
      <c r="Y28" s="184"/>
      <c r="Z28" s="184"/>
      <c r="AA28" s="184"/>
      <c r="AC28" s="130" t="s">
        <v>468</v>
      </c>
      <c r="AD28" s="19">
        <f>Tabela4[[#This Row],[Valor]]/Tabela4[[#Totals],[Valor]]</f>
        <v>7.328479096491646E-3</v>
      </c>
      <c r="AE28" s="5">
        <f t="shared" si="0"/>
        <v>11455.259999999998</v>
      </c>
      <c r="AG28" s="125" t="s">
        <v>232</v>
      </c>
      <c r="AH28" s="186">
        <f>SUMIF(Tabela8[Destino],Tabela10[[#This Row],[Destino]],Tabela8[YTD])</f>
        <v>45607.46</v>
      </c>
      <c r="AI28" s="186">
        <f>Tabela10[[#This Row],[R$]]/6</f>
        <v>7601.2433333333329</v>
      </c>
      <c r="AJ28" s="191">
        <f>Tabela10[[#This Row],[R$]]/Tabela10[[#Totals],[R$]]</f>
        <v>2.3354861764701303E-2</v>
      </c>
      <c r="AL28" s="125" t="s">
        <v>481</v>
      </c>
      <c r="AM28" s="187">
        <f>SUMIF(Tabela8[Utilidade],Tabela12[[#This Row],[Utilidade]],Tabela8[YTD])</f>
        <v>199542.96999999997</v>
      </c>
      <c r="AN28" s="186">
        <f>Tabela12[[#This Row],[R$]]/6</f>
        <v>33257.16166666666</v>
      </c>
      <c r="AO28" s="191">
        <f>Tabela12[[#This Row],[R$]]/Tabela12[[#Totals],[R$]]</f>
        <v>0.12315904608523283</v>
      </c>
      <c r="AQ28" s="125"/>
      <c r="AR28" s="127"/>
    </row>
    <row r="29" spans="6:44" ht="15.75" customHeight="1">
      <c r="F29" s="125" t="s">
        <v>447</v>
      </c>
      <c r="G29" s="125" t="s">
        <v>213</v>
      </c>
      <c r="H29" s="125" t="s">
        <v>314</v>
      </c>
      <c r="I29" s="125" t="s">
        <v>469</v>
      </c>
      <c r="J29" s="125" t="s">
        <v>493</v>
      </c>
      <c r="K29" s="125" t="s">
        <v>493</v>
      </c>
      <c r="M29" s="187">
        <f>AVERAGE(Tabela8[[#This Row],[jan./26]:[dez/26]])</f>
        <v>6578.5199999999995</v>
      </c>
      <c r="N29" s="128">
        <f>SUM(Tabela8[[#This Row],[jan./26]:[dez/26]])</f>
        <v>46049.64</v>
      </c>
      <c r="O29" s="19">
        <f>Tabela8[[#This Row],[YTD]]/Tabela8[[#Totals],[YTD]]</f>
        <v>2.5438305147986468E-2</v>
      </c>
      <c r="P29" s="184">
        <v>5749.27</v>
      </c>
      <c r="Q29" s="184">
        <v>5695.28</v>
      </c>
      <c r="R29" s="184">
        <v>7461.4</v>
      </c>
      <c r="S29" s="184">
        <v>5965.22</v>
      </c>
      <c r="T29" s="184">
        <v>8479.8700000000008</v>
      </c>
      <c r="U29" s="184">
        <v>6239.61</v>
      </c>
      <c r="V29" s="184">
        <v>6458.99</v>
      </c>
      <c r="W29" s="184"/>
      <c r="X29" s="184"/>
      <c r="Y29" s="184"/>
      <c r="Z29" s="184"/>
      <c r="AA29" s="184"/>
      <c r="AC29" s="130" t="s">
        <v>318</v>
      </c>
      <c r="AD29" s="19">
        <f>Tabela4[[#This Row],[Valor]]/Tabela4[[#Totals],[Valor]]</f>
        <v>1.4171958874954609E-2</v>
      </c>
      <c r="AE29" s="5">
        <f t="shared" si="0"/>
        <v>22152.41</v>
      </c>
      <c r="AF29" s="111"/>
      <c r="AG29" s="125" t="s">
        <v>482</v>
      </c>
      <c r="AH29" s="186">
        <f>SUMIF(Tabela8[Destino],Tabela10[[#This Row],[Destino]],Tabela8[YTD])</f>
        <v>24886.61</v>
      </c>
      <c r="AI29" s="186">
        <f>Tabela10[[#This Row],[R$]]/6</f>
        <v>4147.7683333333334</v>
      </c>
      <c r="AJ29" s="191">
        <f>Tabela10[[#This Row],[R$]]/Tabela10[[#Totals],[R$]]</f>
        <v>1.2744040916596389E-2</v>
      </c>
      <c r="AL29" s="125" t="s">
        <v>483</v>
      </c>
      <c r="AM29" s="187">
        <f>SUMIF(Tabela8[Utilidade],Tabela12[[#This Row],[Utilidade]],Tabela8[YTD])</f>
        <v>10694.52</v>
      </c>
      <c r="AN29" s="186">
        <f>Tabela12[[#This Row],[R$]]/6</f>
        <v>1782.42</v>
      </c>
      <c r="AO29" s="191">
        <f>Tabela12[[#This Row],[R$]]/Tabela12[[#Totals],[R$]]</f>
        <v>6.6007180385229524E-3</v>
      </c>
      <c r="AQ29" s="125"/>
      <c r="AR29" s="127"/>
    </row>
    <row r="30" spans="6:44" ht="15.75" customHeight="1">
      <c r="F30" s="125" t="s">
        <v>447</v>
      </c>
      <c r="G30" s="125" t="s">
        <v>664</v>
      </c>
      <c r="H30" s="125" t="s">
        <v>315</v>
      </c>
      <c r="I30" s="125" t="s">
        <v>211</v>
      </c>
      <c r="J30" s="125" t="s">
        <v>480</v>
      </c>
      <c r="K30" s="125" t="s">
        <v>481</v>
      </c>
      <c r="M30" s="187">
        <f>AVERAGE(Tabela8[[#This Row],[jan./26]:[dez/26]])</f>
        <v>5646.6200000000008</v>
      </c>
      <c r="N30" s="128">
        <f>SUM(Tabela8[[#This Row],[jan./26]:[dez/26]])</f>
        <v>39526.340000000004</v>
      </c>
      <c r="O30" s="19">
        <f>Tabela8[[#This Row],[YTD]]/Tabela8[[#Totals],[YTD]]</f>
        <v>2.1834765663815474E-2</v>
      </c>
      <c r="P30" s="184">
        <v>5646.62</v>
      </c>
      <c r="Q30" s="184">
        <v>5646.62</v>
      </c>
      <c r="R30" s="184">
        <v>5646.62</v>
      </c>
      <c r="S30" s="184">
        <v>5646.62</v>
      </c>
      <c r="T30" s="184">
        <v>5646.62</v>
      </c>
      <c r="U30" s="184">
        <v>5646.62</v>
      </c>
      <c r="V30" s="184">
        <v>5646.62</v>
      </c>
      <c r="W30" s="184"/>
      <c r="X30" s="184"/>
      <c r="Y30" s="184"/>
      <c r="Z30" s="184"/>
      <c r="AA30" s="184"/>
      <c r="AC30" s="130" t="s">
        <v>0</v>
      </c>
      <c r="AD30" s="19">
        <f>Tabela4[[#This Row],[Valor]]/Tabela4[[#Totals],[Valor]]</f>
        <v>6.2386691041916548E-2</v>
      </c>
      <c r="AE30" s="5">
        <f t="shared" si="0"/>
        <v>97517.610000000015</v>
      </c>
      <c r="AG30" s="125" t="s">
        <v>492</v>
      </c>
      <c r="AH30" s="186">
        <f>SUMIF(Tabela8[Destino],Tabela10[[#This Row],[Destino]],Tabela8[YTD])</f>
        <v>18128.759999999998</v>
      </c>
      <c r="AI30" s="186">
        <f>Tabela10[[#This Row],[R$]]/6</f>
        <v>3021.4599999999996</v>
      </c>
      <c r="AJ30" s="191">
        <f>Tabela10[[#This Row],[R$]]/Tabela10[[#Totals],[R$]]</f>
        <v>9.2834523949688573E-3</v>
      </c>
      <c r="AL30" s="125" t="s">
        <v>486</v>
      </c>
      <c r="AM30" s="187">
        <f>SUMIF(Tabela8[Utilidade],Tabela12[[#This Row],[Utilidade]],Tabela8[YTD])</f>
        <v>247474.22</v>
      </c>
      <c r="AN30" s="186">
        <f>Tabela12[[#This Row],[R$]]/6</f>
        <v>41245.703333333331</v>
      </c>
      <c r="AO30" s="191">
        <f>Tabela12[[#This Row],[R$]]/Tabela12[[#Totals],[R$]]</f>
        <v>0.15274248381632813</v>
      </c>
      <c r="AQ30" s="125"/>
      <c r="AR30" s="127"/>
    </row>
    <row r="31" spans="6:44" ht="15.75" customHeight="1">
      <c r="F31" s="125" t="s">
        <v>447</v>
      </c>
      <c r="G31" s="125" t="s">
        <v>563</v>
      </c>
      <c r="H31" s="125" t="s">
        <v>450</v>
      </c>
      <c r="I31" s="125" t="s">
        <v>211</v>
      </c>
      <c r="J31" s="125" t="s">
        <v>475</v>
      </c>
      <c r="K31" s="125" t="s">
        <v>481</v>
      </c>
      <c r="M31" s="187">
        <f>AVERAGE(Tabela8[[#This Row],[jan./26]:[dez/26]])</f>
        <v>3626.88</v>
      </c>
      <c r="N31" s="128">
        <f>SUM(Tabela8[[#This Row],[jan./26]:[dez/26]])</f>
        <v>25388.16</v>
      </c>
      <c r="O31" s="19">
        <f>Tabela8[[#This Row],[YTD]]/Tabela8[[#Totals],[YTD]]</f>
        <v>1.4024686430250141E-2</v>
      </c>
      <c r="P31" s="184">
        <v>0</v>
      </c>
      <c r="Q31" s="184">
        <v>0</v>
      </c>
      <c r="R31" s="184">
        <v>5093</v>
      </c>
      <c r="S31" s="184">
        <v>5180.3100000000004</v>
      </c>
      <c r="T31" s="184">
        <v>4977.79</v>
      </c>
      <c r="U31" s="184">
        <v>5081.03</v>
      </c>
      <c r="V31" s="184">
        <v>5056.03</v>
      </c>
      <c r="W31" s="184"/>
      <c r="X31" s="184"/>
      <c r="Y31" s="184"/>
      <c r="Z31" s="184"/>
      <c r="AA31" s="184"/>
      <c r="AC31" s="130" t="s">
        <v>394</v>
      </c>
      <c r="AD31" s="19">
        <f>Tabela4[[#This Row],[Valor]]/Tabela4[[#Totals],[Valor]]</f>
        <v>0.11103849900800683</v>
      </c>
      <c r="AE31" s="5">
        <f t="shared" si="0"/>
        <v>173566.01</v>
      </c>
      <c r="AG31" s="125" t="s">
        <v>140</v>
      </c>
      <c r="AH31" s="186">
        <f>SUMIF(Tabela8[Destino],Tabela10[[#This Row],[Destino]],Tabela8[YTD])</f>
        <v>4762.84</v>
      </c>
      <c r="AI31" s="186">
        <f>Tabela10[[#This Row],[R$]]/6</f>
        <v>793.80666666666673</v>
      </c>
      <c r="AJ31" s="191">
        <f>Tabela10[[#This Row],[R$]]/Tabela10[[#Totals],[R$]]</f>
        <v>2.4389753300751668E-3</v>
      </c>
      <c r="AL31" s="125" t="s">
        <v>487</v>
      </c>
      <c r="AM31" s="187">
        <f>SUMIF(Tabela8[Utilidade],Tabela12[[#This Row],[Utilidade]],Tabela8[YTD])</f>
        <v>46495.56</v>
      </c>
      <c r="AN31" s="186">
        <f>Tabela12[[#This Row],[R$]]/6</f>
        <v>7749.2599999999993</v>
      </c>
      <c r="AO31" s="191">
        <f>Tabela12[[#This Row],[R$]]/Tabela12[[#Totals],[R$]]</f>
        <v>2.8697321768833592E-2</v>
      </c>
      <c r="AQ31" s="125"/>
      <c r="AR31" s="127"/>
    </row>
    <row r="32" spans="6:44" ht="15.75" customHeight="1">
      <c r="F32" s="125" t="s">
        <v>447</v>
      </c>
      <c r="G32" s="125" t="s">
        <v>394</v>
      </c>
      <c r="H32" t="s">
        <v>656</v>
      </c>
      <c r="I32" s="125" t="s">
        <v>135</v>
      </c>
      <c r="J32" s="125" t="s">
        <v>475</v>
      </c>
      <c r="K32" s="125" t="s">
        <v>493</v>
      </c>
      <c r="M32" s="187">
        <f>AVERAGE(Tabela8[[#This Row],[jan./26]:[dez/26]])</f>
        <v>5714.2857142857147</v>
      </c>
      <c r="N32" s="128">
        <f>SUM(Tabela8[[#This Row],[jan./26]:[dez/26]])</f>
        <v>40000</v>
      </c>
      <c r="O32" s="19">
        <f>Tabela8[[#This Row],[YTD]]/Tabela8[[#Totals],[YTD]]</f>
        <v>2.2096420426293423E-2</v>
      </c>
      <c r="P32" s="184">
        <v>5000</v>
      </c>
      <c r="Q32" s="184">
        <v>5000</v>
      </c>
      <c r="R32" s="184">
        <v>5000</v>
      </c>
      <c r="S32" s="184">
        <v>5000</v>
      </c>
      <c r="T32" s="184">
        <v>10000</v>
      </c>
      <c r="U32" s="184">
        <v>5000</v>
      </c>
      <c r="V32" s="184">
        <v>5000</v>
      </c>
      <c r="W32" s="184"/>
      <c r="X32" s="184"/>
      <c r="Y32" s="184"/>
      <c r="Z32" s="184"/>
      <c r="AA32" s="184"/>
      <c r="AC32" s="130" t="s">
        <v>461</v>
      </c>
      <c r="AD32" s="19">
        <f>Tabela4[[#This Row],[Valor]]/Tabela4[[#Totals],[Valor]]</f>
        <v>0.11363021391380138</v>
      </c>
      <c r="AE32" s="5">
        <f t="shared" si="0"/>
        <v>177617.16</v>
      </c>
      <c r="AG32" s="125" t="s">
        <v>470</v>
      </c>
      <c r="AH32" s="186">
        <f>SUMIF(Tabela8[Destino],Tabela10[[#This Row],[Destino]],Tabela8[YTD])</f>
        <v>2449.8200000000002</v>
      </c>
      <c r="AI32" s="186">
        <f>Tabela10[[#This Row],[R$]]/6</f>
        <v>408.30333333333334</v>
      </c>
      <c r="AJ32" s="191">
        <f>Tabela10[[#This Row],[R$]]/Tabela10[[#Totals],[R$]]</f>
        <v>1.254514227461923E-3</v>
      </c>
      <c r="AL32" s="125" t="s">
        <v>493</v>
      </c>
      <c r="AM32" s="187">
        <f>SUMIF(Tabela8[Utilidade],Tabela12[[#This Row],[Utilidade]],Tabela8[YTD])</f>
        <v>775136.55999999994</v>
      </c>
      <c r="AN32" s="186">
        <f>Tabela12[[#This Row],[R$]]/6</f>
        <v>129189.42666666665</v>
      </c>
      <c r="AO32" s="191">
        <f>Tabela12[[#This Row],[R$]]/Tabela12[[#Totals],[R$]]</f>
        <v>0.47841865496634056</v>
      </c>
      <c r="AQ32" s="125"/>
      <c r="AR32" s="127"/>
    </row>
    <row r="33" spans="6:44" ht="15.75" customHeight="1">
      <c r="F33" s="125" t="s">
        <v>447</v>
      </c>
      <c r="G33" s="125" t="s">
        <v>394</v>
      </c>
      <c r="H33" t="s">
        <v>726</v>
      </c>
      <c r="I33" s="125" t="s">
        <v>469</v>
      </c>
      <c r="J33" s="125" t="s">
        <v>475</v>
      </c>
      <c r="K33" s="125" t="s">
        <v>493</v>
      </c>
      <c r="M33" s="187">
        <f>AVERAGE(Tabela8[[#This Row],[jan./26]:[dez/26]])</f>
        <v>5000</v>
      </c>
      <c r="N33" s="128">
        <f>SUM(Tabela8[[#This Row],[jan./26]:[dez/26]])</f>
        <v>35000</v>
      </c>
      <c r="O33" s="19">
        <f>Tabela8[[#This Row],[YTD]]/Tabela8[[#Totals],[YTD]]</f>
        <v>1.9334367873006745E-2</v>
      </c>
      <c r="P33" s="184">
        <v>5000</v>
      </c>
      <c r="Q33" s="184">
        <v>5000</v>
      </c>
      <c r="R33" s="184">
        <v>5000</v>
      </c>
      <c r="S33" s="184">
        <v>5000</v>
      </c>
      <c r="T33" s="184">
        <v>5000</v>
      </c>
      <c r="U33" s="184">
        <v>5000</v>
      </c>
      <c r="V33" s="184">
        <v>5000</v>
      </c>
      <c r="W33" s="184"/>
      <c r="X33" s="184"/>
      <c r="Y33" s="184"/>
      <c r="Z33" s="184"/>
      <c r="AA33" s="184"/>
      <c r="AC33" s="130" t="s">
        <v>460</v>
      </c>
      <c r="AD33" s="19">
        <f>Tabela4[[#This Row],[Valor]]/Tabela4[[#Totals],[Valor]]</f>
        <v>0.24535287089451349</v>
      </c>
      <c r="AE33" s="5">
        <f t="shared" si="0"/>
        <v>383514.9</v>
      </c>
      <c r="AG33" s="125" t="s">
        <v>233</v>
      </c>
      <c r="AH33" s="186">
        <f>SUMIF(Tabela8[Destino],Tabela10[[#This Row],[Destino]],Tabela8[YTD])</f>
        <v>610.26</v>
      </c>
      <c r="AI33" s="186">
        <f>Tabela10[[#This Row],[R$]]/6</f>
        <v>101.71</v>
      </c>
      <c r="AJ33" s="191">
        <f>Tabela10[[#This Row],[R$]]/Tabela10[[#Totals],[R$]]</f>
        <v>3.1250453194557685E-4</v>
      </c>
      <c r="AL33" s="125" t="s">
        <v>479</v>
      </c>
      <c r="AM33" s="187">
        <f>SUMIF(Tabela8[Utilidade],Tabela12[[#This Row],[Utilidade]],Tabela8[YTD])</f>
        <v>340861.72000000003</v>
      </c>
      <c r="AN33" s="186">
        <f>Tabela12[[#This Row],[R$]]/6</f>
        <v>56810.286666666674</v>
      </c>
      <c r="AO33" s="191">
        <f>Tabela12[[#This Row],[R$]]/Tabela12[[#Totals],[R$]]</f>
        <v>0.210381775324742</v>
      </c>
      <c r="AQ33" s="125"/>
      <c r="AR33" s="127"/>
    </row>
    <row r="34" spans="6:44" ht="15.75" customHeight="1">
      <c r="F34" s="125" t="s">
        <v>447</v>
      </c>
      <c r="G34" s="125" t="s">
        <v>213</v>
      </c>
      <c r="H34" s="125" t="s">
        <v>329</v>
      </c>
      <c r="I34" s="125" t="s">
        <v>232</v>
      </c>
      <c r="J34" s="125" t="s">
        <v>493</v>
      </c>
      <c r="K34" s="125" t="s">
        <v>493</v>
      </c>
      <c r="M34" s="187">
        <f>AVERAGE(Tabela8[[#This Row],[jan./26]:[dez/26]])</f>
        <v>4044.4542857142856</v>
      </c>
      <c r="N34" s="128">
        <f>SUM(Tabela8[[#This Row],[jan./26]:[dez/26]])</f>
        <v>28311.18</v>
      </c>
      <c r="O34" s="19">
        <f>Tabela8[[#This Row],[YTD]]/Tabela8[[#Totals],[YTD]]</f>
        <v>1.5639393401111746E-2</v>
      </c>
      <c r="P34" s="184">
        <v>3903.32</v>
      </c>
      <c r="Q34" s="184">
        <v>4141.68</v>
      </c>
      <c r="R34" s="184">
        <v>3785.34</v>
      </c>
      <c r="S34" s="184">
        <v>4184.38</v>
      </c>
      <c r="T34" s="184">
        <v>4221.49</v>
      </c>
      <c r="U34" s="184">
        <v>4226.0200000000004</v>
      </c>
      <c r="V34" s="184">
        <v>3848.95</v>
      </c>
      <c r="W34" s="184"/>
      <c r="X34" s="184"/>
      <c r="Y34" s="184"/>
      <c r="Z34" s="184"/>
      <c r="AA34" s="184"/>
      <c r="AC34" s="130" t="s">
        <v>213</v>
      </c>
      <c r="AD34" s="19">
        <f>Tabela4[[#This Row],[Valor]]/Tabela4[[#Totals],[Valor]]</f>
        <v>0.44343269301387556</v>
      </c>
      <c r="AE34" s="5">
        <f t="shared" si="0"/>
        <v>693136.55999999994</v>
      </c>
      <c r="AG34" s="125" t="s">
        <v>150</v>
      </c>
      <c r="AH34" s="186">
        <f>SUBTOTAL(109,Tabela10[R$])</f>
        <v>1952803.68</v>
      </c>
      <c r="AI34" s="186">
        <f>SUBTOTAL(109,Tabela10[Coluna1])</f>
        <v>325467.27999999997</v>
      </c>
      <c r="AJ34" s="191"/>
      <c r="AL34" s="125" t="s">
        <v>150</v>
      </c>
      <c r="AM34" s="187">
        <f>SUBTOTAL(109,Tabela12[R$])</f>
        <v>1620205.5499999998</v>
      </c>
      <c r="AN34" s="192">
        <f>SUBTOTAL(109,Tabela12[/6])</f>
        <v>270034.2583333333</v>
      </c>
      <c r="AO34" s="193"/>
      <c r="AQ34" s="125"/>
      <c r="AR34" s="127"/>
    </row>
    <row r="35" spans="6:44" ht="15.75" hidden="1" customHeight="1">
      <c r="F35" s="125" t="s">
        <v>242</v>
      </c>
      <c r="G35" s="125" t="s">
        <v>648</v>
      </c>
      <c r="H35" s="125" t="s">
        <v>712</v>
      </c>
      <c r="I35" s="125" t="s">
        <v>212</v>
      </c>
      <c r="J35" s="125" t="s">
        <v>478</v>
      </c>
      <c r="K35" s="125" t="s">
        <v>479</v>
      </c>
      <c r="M35" s="187">
        <f>AVERAGE(Tabela8[[#This Row],[jan./26]:[dez/26]])</f>
        <v>4815.58</v>
      </c>
      <c r="N35" s="128">
        <f>SUM(Tabela8[[#This Row],[jan./26]:[dez/26]])</f>
        <v>4815.58</v>
      </c>
      <c r="O35" s="19"/>
      <c r="P35" s="184"/>
      <c r="Q35" s="184"/>
      <c r="R35" s="184"/>
      <c r="S35" s="184"/>
      <c r="T35" s="186"/>
      <c r="U35" s="184">
        <v>4815.58</v>
      </c>
      <c r="V35" s="184"/>
      <c r="W35" s="184"/>
      <c r="X35" s="184"/>
      <c r="Y35" s="184"/>
      <c r="Z35" s="184"/>
      <c r="AA35" s="184"/>
      <c r="AC35" s="130" t="s">
        <v>150</v>
      </c>
      <c r="AD35" s="142">
        <f>SUBTOTAL(109,Tabela4[%])</f>
        <v>0.99999999999999989</v>
      </c>
      <c r="AE35" s="128">
        <f>SUBTOTAL(109,Tabela4[Valor])</f>
        <v>1563115.6</v>
      </c>
    </row>
    <row r="36" spans="6:44" ht="15.75" hidden="1" customHeight="1">
      <c r="F36" s="125" t="s">
        <v>242</v>
      </c>
      <c r="G36" s="125" t="s">
        <v>318</v>
      </c>
      <c r="H36" s="125" t="s">
        <v>319</v>
      </c>
      <c r="I36" s="125" t="s">
        <v>211</v>
      </c>
      <c r="J36" s="125" t="s">
        <v>480</v>
      </c>
      <c r="K36" s="125" t="s">
        <v>486</v>
      </c>
      <c r="M36" s="187">
        <f>AVERAGE(Tabela8[[#This Row],[jan./26]:[dez/26]])</f>
        <v>4430.482</v>
      </c>
      <c r="N36" s="128">
        <f>SUM(Tabela8[[#This Row],[jan./26]:[dez/26]])</f>
        <v>22152.41</v>
      </c>
      <c r="O36" s="19">
        <f>Tabela8[[#This Row],[YTD]]/Tabela8[[#Totals],[YTD]]</f>
        <v>1.2237224120390668E-2</v>
      </c>
      <c r="P36" s="184">
        <v>2730.6</v>
      </c>
      <c r="Q36" s="184">
        <v>2735.42</v>
      </c>
      <c r="R36" s="184">
        <v>2735.42</v>
      </c>
      <c r="S36" s="184">
        <v>2735.42</v>
      </c>
      <c r="T36" s="184"/>
      <c r="U36" s="184">
        <v>11215.55</v>
      </c>
      <c r="V36" s="184"/>
      <c r="W36" s="184"/>
      <c r="X36" s="184"/>
      <c r="Y36" s="184"/>
      <c r="Z36" s="184"/>
      <c r="AA36" s="184"/>
    </row>
    <row r="37" spans="6:44" ht="15.75" hidden="1" customHeight="1">
      <c r="F37" s="125" t="s">
        <v>242</v>
      </c>
      <c r="G37" s="125" t="s">
        <v>648</v>
      </c>
      <c r="H37" s="125" t="s">
        <v>323</v>
      </c>
      <c r="I37" s="125" t="s">
        <v>211</v>
      </c>
      <c r="J37" s="125" t="s">
        <v>480</v>
      </c>
      <c r="K37" s="125" t="s">
        <v>486</v>
      </c>
      <c r="M37" s="187">
        <f>AVERAGE(Tabela8[[#This Row],[jan./26]:[dez/26]])</f>
        <v>4173.1942857142858</v>
      </c>
      <c r="N37" s="128">
        <f>SUM(Tabela8[[#This Row],[jan./26]:[dez/26]])</f>
        <v>29212.36</v>
      </c>
      <c r="O37" s="19">
        <f>Tabela8[[#This Row],[YTD]]/Tabela8[[#Totals],[YTD]]</f>
        <v>1.6137214705105925E-2</v>
      </c>
      <c r="P37" s="184">
        <v>4432.18</v>
      </c>
      <c r="Q37" s="184">
        <v>3631.49</v>
      </c>
      <c r="R37" s="184">
        <v>3585.52</v>
      </c>
      <c r="S37" s="184">
        <v>4143.32</v>
      </c>
      <c r="T37" s="184">
        <v>4826.2700000000004</v>
      </c>
      <c r="U37" s="184">
        <v>4894.7700000000004</v>
      </c>
      <c r="V37" s="184">
        <v>3698.81</v>
      </c>
      <c r="W37" s="184"/>
      <c r="X37" s="184"/>
      <c r="Y37" s="184"/>
      <c r="Z37" s="184"/>
      <c r="AA37" s="184"/>
    </row>
    <row r="38" spans="6:44" ht="15.75" customHeight="1">
      <c r="F38" s="125" t="s">
        <v>447</v>
      </c>
      <c r="G38" s="125" t="s">
        <v>648</v>
      </c>
      <c r="H38" s="125" t="s">
        <v>330</v>
      </c>
      <c r="I38" s="125" t="s">
        <v>211</v>
      </c>
      <c r="J38" s="125" t="s">
        <v>480</v>
      </c>
      <c r="K38" s="125" t="s">
        <v>486</v>
      </c>
      <c r="M38" s="187">
        <f>AVERAGE(Tabela8[[#This Row],[jan./26]:[dez/26]])</f>
        <v>1971.1666666666667</v>
      </c>
      <c r="N38" s="128">
        <f>SUM(Tabela8[[#This Row],[jan./26]:[dez/26]])</f>
        <v>11827</v>
      </c>
      <c r="O38" s="19">
        <f>Tabela8[[#This Row],[YTD]]/Tabela8[[#Totals],[YTD]]</f>
        <v>6.5333591095443084E-3</v>
      </c>
      <c r="P38" s="184">
        <v>1387</v>
      </c>
      <c r="Q38" s="184">
        <v>1606</v>
      </c>
      <c r="R38" s="184">
        <v>1460</v>
      </c>
      <c r="S38" s="184">
        <v>2174</v>
      </c>
      <c r="T38" s="184">
        <v>1680</v>
      </c>
      <c r="U38" s="184"/>
      <c r="V38" s="184">
        <v>3520</v>
      </c>
      <c r="W38" s="184"/>
      <c r="X38" s="184"/>
      <c r="Y38" s="184"/>
      <c r="Z38" s="184"/>
      <c r="AA38" s="184"/>
      <c r="AC38" s="189" t="s">
        <v>446</v>
      </c>
      <c r="AD38" s="189" t="s">
        <v>150</v>
      </c>
    </row>
    <row r="39" spans="6:44" ht="15.75" customHeight="1">
      <c r="F39" s="125" t="s">
        <v>447</v>
      </c>
      <c r="G39" s="125" t="s">
        <v>648</v>
      </c>
      <c r="H39" s="125" t="s">
        <v>319</v>
      </c>
      <c r="I39" s="125" t="s">
        <v>211</v>
      </c>
      <c r="J39" s="125" t="s">
        <v>485</v>
      </c>
      <c r="K39" s="125" t="s">
        <v>486</v>
      </c>
      <c r="M39" s="187">
        <f>AVERAGE(Tabela8[[#This Row],[jan./26]:[dez/26]])</f>
        <v>3431.0014285714283</v>
      </c>
      <c r="N39" s="128">
        <f>SUM(Tabela8[[#This Row],[jan./26]:[dez/26]])</f>
        <v>24017.01</v>
      </c>
      <c r="O39" s="19">
        <f>Tabela8[[#This Row],[YTD]]/Tabela8[[#Totals],[YTD]]</f>
        <v>1.3267248758562335E-2</v>
      </c>
      <c r="P39" s="184">
        <v>3441.9</v>
      </c>
      <c r="Q39" s="184">
        <v>3799.19</v>
      </c>
      <c r="R39" s="184">
        <v>3413.14</v>
      </c>
      <c r="S39" s="184">
        <v>2710.65</v>
      </c>
      <c r="T39" s="184">
        <v>3973.75</v>
      </c>
      <c r="U39" s="184">
        <v>3368.59</v>
      </c>
      <c r="V39" s="184">
        <v>3309.79</v>
      </c>
      <c r="W39" s="184"/>
      <c r="X39" s="184"/>
      <c r="Y39" s="184"/>
      <c r="Z39" s="184"/>
      <c r="AA39" s="184"/>
      <c r="AC39" s="125" t="s">
        <v>135</v>
      </c>
      <c r="AD39" s="187">
        <f>SUMIF(Tabela8[Destino],Tabela9[[#This Row],[Consultor]],Tabela8[YTD])</f>
        <v>266340.19999999995</v>
      </c>
    </row>
    <row r="40" spans="6:44" ht="15.75" customHeight="1">
      <c r="F40" s="125" t="s">
        <v>447</v>
      </c>
      <c r="G40" s="125" t="s">
        <v>648</v>
      </c>
      <c r="H40" s="125" t="s">
        <v>344</v>
      </c>
      <c r="I40" s="125" t="s">
        <v>211</v>
      </c>
      <c r="J40" s="125" t="s">
        <v>480</v>
      </c>
      <c r="K40" s="125" t="s">
        <v>487</v>
      </c>
      <c r="M40" s="187">
        <f>AVERAGE(Tabela8[[#This Row],[jan./26]:[dez/26]])</f>
        <v>2360.2542857142857</v>
      </c>
      <c r="N40" s="128">
        <f>SUM(Tabela8[[#This Row],[jan./26]:[dez/26]])</f>
        <v>16521.78</v>
      </c>
      <c r="O40" s="19">
        <f>Tabela8[[#This Row],[YTD]]/Tabela8[[#Totals],[YTD]]</f>
        <v>9.1268049267681541E-3</v>
      </c>
      <c r="P40" s="184">
        <v>0</v>
      </c>
      <c r="Q40" s="184">
        <v>1521.78</v>
      </c>
      <c r="R40" s="184">
        <v>3000</v>
      </c>
      <c r="S40" s="184">
        <v>3000</v>
      </c>
      <c r="T40" s="184">
        <v>3000</v>
      </c>
      <c r="U40" s="184">
        <v>3000</v>
      </c>
      <c r="V40" s="184">
        <v>3000</v>
      </c>
      <c r="W40" s="184"/>
      <c r="X40" s="184"/>
      <c r="Y40" s="184"/>
      <c r="Z40" s="184"/>
      <c r="AA40" s="184"/>
      <c r="AC40" s="125" t="s">
        <v>151</v>
      </c>
      <c r="AD40" s="187">
        <f>SUMIF(Tabela8[Destino],Tabela9[[#This Row],[Consultor]],Tabela8[YTD])</f>
        <v>114538.51999999999</v>
      </c>
    </row>
    <row r="41" spans="6:44" ht="15.75" customHeight="1">
      <c r="F41" s="125" t="s">
        <v>447</v>
      </c>
      <c r="G41" s="125" t="s">
        <v>563</v>
      </c>
      <c r="H41" s="125" t="s">
        <v>451</v>
      </c>
      <c r="I41" s="125" t="s">
        <v>212</v>
      </c>
      <c r="J41" s="125" t="s">
        <v>480</v>
      </c>
      <c r="K41" s="125" t="s">
        <v>481</v>
      </c>
      <c r="M41" s="187">
        <f>AVERAGE(Tabela8[[#This Row],[jan./26]:[dez/26]])</f>
        <v>2475.6728571428571</v>
      </c>
      <c r="N41" s="128">
        <f>SUM(Tabela8[[#This Row],[jan./26]:[dez/26]])</f>
        <v>17329.71</v>
      </c>
      <c r="O41" s="19">
        <f>Tabela8[[#This Row],[YTD]]/Tabela8[[#Totals],[YTD]]</f>
        <v>9.5731139506435355E-3</v>
      </c>
      <c r="P41" s="184">
        <v>0</v>
      </c>
      <c r="Q41" s="184">
        <v>0</v>
      </c>
      <c r="R41" s="184">
        <v>5819.9</v>
      </c>
      <c r="S41" s="184">
        <v>2941.14</v>
      </c>
      <c r="T41" s="184">
        <v>2913.08</v>
      </c>
      <c r="U41" s="184">
        <v>2920.55</v>
      </c>
      <c r="V41" s="184">
        <v>2735.04</v>
      </c>
      <c r="W41" s="184"/>
      <c r="X41" s="184"/>
      <c r="Y41" s="184"/>
      <c r="Z41" s="184"/>
      <c r="AA41" s="184"/>
      <c r="AC41" s="125" t="s">
        <v>134</v>
      </c>
      <c r="AD41" s="187">
        <f>SUMIF(Tabela8[Destino],Tabela9[[#This Row],[Consultor]],Tabela8[YTD])</f>
        <v>106993.15</v>
      </c>
    </row>
    <row r="42" spans="6:44" ht="15.75" customHeight="1">
      <c r="F42" s="125" t="s">
        <v>447</v>
      </c>
      <c r="G42" s="125" t="s">
        <v>668</v>
      </c>
      <c r="H42" s="125" t="s">
        <v>337</v>
      </c>
      <c r="I42" s="125" t="s">
        <v>211</v>
      </c>
      <c r="J42" s="125" t="s">
        <v>480</v>
      </c>
      <c r="K42" s="125" t="s">
        <v>481</v>
      </c>
      <c r="M42" s="187">
        <f>AVERAGE(Tabela8[[#This Row],[jan./26]:[dez/26]])</f>
        <v>1286.798</v>
      </c>
      <c r="N42" s="128">
        <f>SUM(Tabela8[[#This Row],[jan./26]:[dez/26]])</f>
        <v>6433.99</v>
      </c>
      <c r="O42" s="19">
        <f>Tabela8[[#This Row],[YTD]]/Tabela8[[#Totals],[YTD]]</f>
        <v>3.5542037014641907E-3</v>
      </c>
      <c r="P42" s="184">
        <v>995.58</v>
      </c>
      <c r="Q42" s="184">
        <v>743.23</v>
      </c>
      <c r="R42" s="184">
        <v>996.52</v>
      </c>
      <c r="S42" s="184">
        <v>1033.3900000000001</v>
      </c>
      <c r="T42" s="184"/>
      <c r="U42" s="184"/>
      <c r="V42" s="184">
        <v>2665.27</v>
      </c>
      <c r="W42" s="184"/>
      <c r="X42" s="184"/>
      <c r="Y42" s="184"/>
      <c r="Z42" s="184"/>
      <c r="AA42" s="184"/>
      <c r="AC42" s="125" t="s">
        <v>136</v>
      </c>
      <c r="AD42" s="187">
        <f>SUMIF(Tabela8[Destino],Tabela9[[#This Row],[Consultor]],Tabela8[YTD])</f>
        <v>100894.40000000001</v>
      </c>
    </row>
    <row r="43" spans="6:44" ht="15.75" hidden="1" customHeight="1">
      <c r="F43" s="125" t="s">
        <v>242</v>
      </c>
      <c r="G43" s="125" t="s">
        <v>648</v>
      </c>
      <c r="H43" s="125" t="s">
        <v>330</v>
      </c>
      <c r="I43" s="125" t="s">
        <v>211</v>
      </c>
      <c r="J43" s="125" t="s">
        <v>480</v>
      </c>
      <c r="K43" s="125" t="s">
        <v>486</v>
      </c>
      <c r="M43" s="187">
        <f>AVERAGE(Tabela8[[#This Row],[jan./26]:[dez/26]])</f>
        <v>2822.5149999999999</v>
      </c>
      <c r="N43" s="128">
        <f>SUM(Tabela8[[#This Row],[jan./26]:[dez/26]])</f>
        <v>16935.09</v>
      </c>
      <c r="O43" s="19">
        <f>Tabela8[[#This Row],[YTD]]/Tabela8[[#Totals],[YTD]]</f>
        <v>9.3551217149279373E-3</v>
      </c>
      <c r="P43" s="184">
        <v>2414.5699999999997</v>
      </c>
      <c r="Q43" s="184">
        <v>1823.27</v>
      </c>
      <c r="R43" s="184">
        <v>2487.5699999999997</v>
      </c>
      <c r="S43" s="184">
        <v>3601.5699999999997</v>
      </c>
      <c r="T43" s="184">
        <v>2787.57</v>
      </c>
      <c r="U43" s="184"/>
      <c r="V43" s="184">
        <v>3820.54</v>
      </c>
      <c r="W43" s="184"/>
      <c r="X43" s="184"/>
      <c r="Y43" s="184"/>
      <c r="Z43" s="184"/>
      <c r="AA43" s="184"/>
      <c r="AC43" s="125" t="s">
        <v>138</v>
      </c>
      <c r="AD43" s="187">
        <f>SUMIF(Tabela8[Destino],Tabela9[[#This Row],[Consultor]],Tabela8[YTD])</f>
        <v>51890.270000000004</v>
      </c>
    </row>
    <row r="44" spans="6:44" ht="15.75" customHeight="1">
      <c r="F44" s="125" t="s">
        <v>447</v>
      </c>
      <c r="G44" s="125" t="s">
        <v>394</v>
      </c>
      <c r="H44" t="s">
        <v>727</v>
      </c>
      <c r="I44" s="125" t="s">
        <v>232</v>
      </c>
      <c r="J44" s="125" t="s">
        <v>475</v>
      </c>
      <c r="K44" s="125" t="s">
        <v>493</v>
      </c>
      <c r="M44" s="187">
        <f>AVERAGE(Tabela8[[#This Row],[jan./26]:[dez/26]])</f>
        <v>2000</v>
      </c>
      <c r="N44" s="128">
        <f>SUM(Tabela8[[#This Row],[jan./26]:[dez/26]])</f>
        <v>14000</v>
      </c>
      <c r="O44" s="19">
        <f>Tabela8[[#This Row],[YTD]]/Tabela8[[#Totals],[YTD]]</f>
        <v>7.733747149202698E-3</v>
      </c>
      <c r="P44" s="184">
        <v>2000</v>
      </c>
      <c r="Q44" s="184">
        <v>2000</v>
      </c>
      <c r="R44" s="184">
        <v>2000</v>
      </c>
      <c r="S44" s="184">
        <v>2000</v>
      </c>
      <c r="T44" s="184">
        <v>2000</v>
      </c>
      <c r="U44" s="184">
        <v>2000</v>
      </c>
      <c r="V44" s="184">
        <v>2000</v>
      </c>
      <c r="W44" s="184"/>
      <c r="X44" s="184"/>
      <c r="Y44" s="184"/>
      <c r="Z44" s="184"/>
      <c r="AA44" s="184"/>
      <c r="AC44" s="125" t="s">
        <v>469</v>
      </c>
      <c r="AD44" s="187">
        <f>SUMIF(Tabela8[Destino],Tabela9[[#This Row],[Consultor]],Tabela8[YTD])</f>
        <v>81049.64</v>
      </c>
    </row>
    <row r="45" spans="6:44" ht="15.75" customHeight="1">
      <c r="F45" s="125" t="s">
        <v>447</v>
      </c>
      <c r="G45" s="125" t="s">
        <v>665</v>
      </c>
      <c r="H45" s="125" t="s">
        <v>327</v>
      </c>
      <c r="I45" s="125" t="s">
        <v>212</v>
      </c>
      <c r="J45" s="125" t="s">
        <v>480</v>
      </c>
      <c r="K45" s="125" t="s">
        <v>486</v>
      </c>
      <c r="L45" s="125" t="s">
        <v>489</v>
      </c>
      <c r="M45" s="187">
        <f>AVERAGE(Tabela8[[#This Row],[jan./26]:[dez/26]])</f>
        <v>1907.464285714286</v>
      </c>
      <c r="N45" s="128">
        <f>SUM(Tabela8[[#This Row],[jan./26]:[dez/26]])</f>
        <v>13352.250000000002</v>
      </c>
      <c r="O45" s="19">
        <f>Tabela8[[#This Row],[YTD]]/Tabela8[[#Totals],[YTD]]</f>
        <v>7.3759232409244101E-3</v>
      </c>
      <c r="P45" s="184">
        <v>1802.61</v>
      </c>
      <c r="Q45" s="184">
        <v>1924.94</v>
      </c>
      <c r="R45" s="184">
        <v>1924.94</v>
      </c>
      <c r="S45" s="184">
        <v>1924.94</v>
      </c>
      <c r="T45" s="184">
        <v>1924.94</v>
      </c>
      <c r="U45" s="184">
        <v>1924.94</v>
      </c>
      <c r="V45" s="184">
        <v>1924.94</v>
      </c>
      <c r="W45" s="184"/>
      <c r="X45" s="184"/>
      <c r="Y45" s="184"/>
      <c r="Z45" s="184"/>
      <c r="AA45" s="184"/>
      <c r="AC45" s="125" t="s">
        <v>232</v>
      </c>
      <c r="AD45" s="187">
        <f>SUMIF(Tabela8[Destino],Tabela9[[#This Row],[Consultor]],Tabela8[YTD])</f>
        <v>45607.46</v>
      </c>
    </row>
    <row r="46" spans="6:44" ht="15.75" customHeight="1">
      <c r="F46" s="125" t="s">
        <v>447</v>
      </c>
      <c r="G46" s="125" t="s">
        <v>648</v>
      </c>
      <c r="H46" s="125" t="s">
        <v>354</v>
      </c>
      <c r="I46" s="125" t="s">
        <v>211</v>
      </c>
      <c r="J46" s="125" t="s">
        <v>480</v>
      </c>
      <c r="K46" s="125" t="s">
        <v>486</v>
      </c>
      <c r="M46" s="187">
        <f>AVERAGE(Tabela8[[#This Row],[jan./26]:[dez/26]])</f>
        <v>995.83333333333337</v>
      </c>
      <c r="N46" s="128">
        <f>SUM(Tabela8[[#This Row],[jan./26]:[dez/26]])</f>
        <v>5975</v>
      </c>
      <c r="O46" s="19">
        <f>Tabela8[[#This Row],[YTD]]/Tabela8[[#Totals],[YTD]]</f>
        <v>3.3006528011775803E-3</v>
      </c>
      <c r="P46" s="184">
        <v>374</v>
      </c>
      <c r="Q46" s="184">
        <v>968</v>
      </c>
      <c r="R46" s="184">
        <v>1364</v>
      </c>
      <c r="S46" s="184">
        <v>440</v>
      </c>
      <c r="T46" s="184">
        <v>924</v>
      </c>
      <c r="U46" s="184"/>
      <c r="V46" s="184">
        <v>1905</v>
      </c>
      <c r="W46" s="184"/>
      <c r="X46" s="184"/>
      <c r="Y46" s="184"/>
      <c r="Z46" s="184"/>
      <c r="AA46" s="184"/>
      <c r="AC46" s="125" t="s">
        <v>140</v>
      </c>
      <c r="AD46" s="187">
        <f>SUMIF(Tabela8[Destino],Tabela9[[#This Row],[Consultor]],Tabela8[YTD])</f>
        <v>4762.84</v>
      </c>
      <c r="AE46" s="128"/>
    </row>
    <row r="47" spans="6:44" ht="15.75" customHeight="1">
      <c r="F47" s="125" t="s">
        <v>447</v>
      </c>
      <c r="G47" s="125" t="s">
        <v>460</v>
      </c>
      <c r="H47" s="125" t="s">
        <v>334</v>
      </c>
      <c r="I47" s="125" t="s">
        <v>214</v>
      </c>
      <c r="J47" s="125" t="s">
        <v>475</v>
      </c>
      <c r="K47" s="125" t="s">
        <v>476</v>
      </c>
      <c r="M47" s="187">
        <f>AVERAGE(Tabela8[[#This Row],[jan./26]:[dez/26]])</f>
        <v>1602.3057142857142</v>
      </c>
      <c r="N47" s="128">
        <f>SUM(Tabela8[[#This Row],[jan./26]:[dez/26]])</f>
        <v>11216.14</v>
      </c>
      <c r="O47" s="19">
        <f>Tabela8[[#This Row],[YTD]]/Tabela8[[#Totals],[YTD]]</f>
        <v>6.1959136250041682E-3</v>
      </c>
      <c r="P47" s="184">
        <v>1691.39</v>
      </c>
      <c r="Q47" s="184">
        <v>1474.11</v>
      </c>
      <c r="R47" s="184">
        <v>1752.03</v>
      </c>
      <c r="S47" s="184">
        <v>1301.8800000000001</v>
      </c>
      <c r="T47" s="184">
        <v>1451.49</v>
      </c>
      <c r="U47" s="184">
        <v>1690.12</v>
      </c>
      <c r="V47" s="184">
        <v>1855.12</v>
      </c>
      <c r="W47" s="184"/>
      <c r="X47" s="184"/>
      <c r="Y47" s="184"/>
      <c r="Z47" s="184"/>
      <c r="AA47" s="184"/>
      <c r="AC47" s="125" t="s">
        <v>470</v>
      </c>
      <c r="AD47" s="187">
        <f>SUMIF(Tabela8[Destino],Tabela9[[#This Row],[Consultor]],Tabela8[YTD])</f>
        <v>2449.8200000000002</v>
      </c>
      <c r="AE47" s="128"/>
    </row>
    <row r="48" spans="6:44" ht="15.75" customHeight="1">
      <c r="F48" s="125" t="s">
        <v>447</v>
      </c>
      <c r="G48" s="125" t="s">
        <v>394</v>
      </c>
      <c r="H48" t="s">
        <v>657</v>
      </c>
      <c r="I48" s="125" t="s">
        <v>445</v>
      </c>
      <c r="J48" s="125" t="s">
        <v>480</v>
      </c>
      <c r="K48" s="125" t="s">
        <v>481</v>
      </c>
      <c r="M48" s="187">
        <f>AVERAGE(Tabela8[[#This Row],[jan./26]:[dez/26]])</f>
        <v>886.08833333333348</v>
      </c>
      <c r="N48" s="128">
        <f>SUM(Tabela8[[#This Row],[jan./26]:[dez/26]])</f>
        <v>5316.5300000000007</v>
      </c>
      <c r="O48" s="19">
        <f>Tabela8[[#This Row],[YTD]]/Tabela8[[#Totals],[YTD]]</f>
        <v>2.9369070522250449E-3</v>
      </c>
      <c r="P48" s="184">
        <v>401.62</v>
      </c>
      <c r="Q48" s="184">
        <v>0</v>
      </c>
      <c r="R48" s="184">
        <v>585.9</v>
      </c>
      <c r="S48" s="184">
        <v>1421.28</v>
      </c>
      <c r="T48" s="184">
        <v>1234.33</v>
      </c>
      <c r="U48" s="184"/>
      <c r="V48" s="184">
        <v>1673.4</v>
      </c>
      <c r="W48" s="184"/>
      <c r="X48" s="184"/>
      <c r="Y48" s="184"/>
      <c r="Z48" s="184"/>
      <c r="AA48" s="184"/>
      <c r="AC48" s="125" t="s">
        <v>233</v>
      </c>
      <c r="AD48" s="187">
        <f>SUMIF(Tabela8[Destino],Tabela9[[#This Row],[Consultor]],Tabela8[YTD])</f>
        <v>610.26</v>
      </c>
      <c r="AE48" s="128"/>
    </row>
    <row r="49" spans="6:31" ht="15.75" customHeight="1">
      <c r="F49" s="125" t="s">
        <v>447</v>
      </c>
      <c r="G49" s="125" t="s">
        <v>655</v>
      </c>
      <c r="H49" s="125" t="s">
        <v>356</v>
      </c>
      <c r="I49" s="125" t="s">
        <v>212</v>
      </c>
      <c r="J49" s="125" t="s">
        <v>475</v>
      </c>
      <c r="K49" s="125" t="s">
        <v>487</v>
      </c>
      <c r="M49" s="187">
        <f>AVERAGE(Tabela8[[#This Row],[jan./26]:[dez/26]])</f>
        <v>483.33333333333331</v>
      </c>
      <c r="N49" s="128">
        <f>SUM(Tabela8[[#This Row],[jan./26]:[dez/26]])</f>
        <v>2900</v>
      </c>
      <c r="O49" s="19">
        <f>Tabela8[[#This Row],[YTD]]/Tabela8[[#Totals],[YTD]]</f>
        <v>1.6019904809062733E-3</v>
      </c>
      <c r="P49" s="184">
        <v>0</v>
      </c>
      <c r="Q49" s="184">
        <v>0</v>
      </c>
      <c r="R49" s="184">
        <v>900</v>
      </c>
      <c r="S49" s="184">
        <v>0</v>
      </c>
      <c r="T49" s="184">
        <v>500</v>
      </c>
      <c r="U49" s="184"/>
      <c r="V49" s="184">
        <v>1500</v>
      </c>
      <c r="W49" s="184"/>
      <c r="X49" s="184"/>
      <c r="Y49" s="184"/>
      <c r="Z49" s="184"/>
      <c r="AA49" s="184"/>
      <c r="AC49" s="125" t="s">
        <v>150</v>
      </c>
      <c r="AD49" s="184">
        <f>SUBTOTAL(109,Tabela9[Total])</f>
        <v>723246.28999999992</v>
      </c>
    </row>
    <row r="50" spans="6:31" ht="15.75" customHeight="1">
      <c r="F50" s="125" t="s">
        <v>447</v>
      </c>
      <c r="G50" t="s">
        <v>665</v>
      </c>
      <c r="H50" t="s">
        <v>728</v>
      </c>
      <c r="I50" s="125" t="s">
        <v>212</v>
      </c>
      <c r="J50" s="125" t="s">
        <v>480</v>
      </c>
      <c r="K50" s="125" t="s">
        <v>481</v>
      </c>
      <c r="M50" s="187">
        <f>AVERAGE(Tabela8[[#This Row],[jan./26]:[dez/26]])</f>
        <v>1500</v>
      </c>
      <c r="N50" s="128">
        <f>SUM(Tabela8[[#This Row],[jan./26]:[dez/26]])</f>
        <v>1500</v>
      </c>
      <c r="O50" s="19"/>
      <c r="P50" s="184"/>
      <c r="Q50" s="184"/>
      <c r="R50" s="184"/>
      <c r="S50" s="184"/>
      <c r="T50" s="184"/>
      <c r="U50" s="184"/>
      <c r="V50" s="184">
        <v>1500</v>
      </c>
      <c r="W50" s="184"/>
      <c r="X50" s="184"/>
      <c r="Y50" s="184"/>
      <c r="Z50" s="184"/>
      <c r="AA50" s="184"/>
    </row>
    <row r="51" spans="6:31" ht="15.75" hidden="1" customHeight="1">
      <c r="F51" s="125" t="s">
        <v>242</v>
      </c>
      <c r="G51" s="125" t="s">
        <v>461</v>
      </c>
      <c r="H51" s="125" t="s">
        <v>366</v>
      </c>
      <c r="I51" s="125" t="s">
        <v>488</v>
      </c>
      <c r="J51" s="125" t="s">
        <v>478</v>
      </c>
      <c r="K51" s="125" t="s">
        <v>479</v>
      </c>
      <c r="M51" s="187">
        <f>AVERAGE(Tabela8[[#This Row],[jan./26]:[dez/26]])</f>
        <v>2000</v>
      </c>
      <c r="N51" s="128">
        <f>SUM(Tabela8[[#This Row],[jan./26]:[dez/26]])</f>
        <v>8000</v>
      </c>
      <c r="O51" s="19">
        <f>Tabela8[[#This Row],[YTD]]/Tabela8[[#Totals],[YTD]]</f>
        <v>4.4192840852586845E-3</v>
      </c>
      <c r="P51" s="184">
        <v>8000</v>
      </c>
      <c r="Q51" s="184">
        <v>0</v>
      </c>
      <c r="R51" s="184">
        <v>0</v>
      </c>
      <c r="S51" s="184">
        <v>0</v>
      </c>
      <c r="T51" s="184"/>
      <c r="U51" s="184"/>
      <c r="V51" s="184"/>
      <c r="W51" s="184"/>
      <c r="X51" s="184"/>
      <c r="Y51" s="184"/>
      <c r="Z51" s="184"/>
      <c r="AA51" s="184"/>
      <c r="AE51" s="111"/>
    </row>
    <row r="52" spans="6:31" ht="15.75" customHeight="1">
      <c r="F52" s="125" t="s">
        <v>447</v>
      </c>
      <c r="G52" s="125" t="s">
        <v>648</v>
      </c>
      <c r="H52" s="125" t="s">
        <v>323</v>
      </c>
      <c r="I52" s="125" t="s">
        <v>211</v>
      </c>
      <c r="J52" s="125" t="s">
        <v>480</v>
      </c>
      <c r="K52" s="125" t="s">
        <v>486</v>
      </c>
      <c r="M52" s="187">
        <f>AVERAGE(Tabela8[[#This Row],[jan./26]:[dez/26]])</f>
        <v>2136.1328571428571</v>
      </c>
      <c r="N52" s="128">
        <f>SUM(Tabela8[[#This Row],[jan./26]:[dez/26]])</f>
        <v>14952.93</v>
      </c>
      <c r="O52" s="19">
        <f>Tabela8[[#This Row],[YTD]]/Tabela8[[#Totals],[YTD]]</f>
        <v>8.2601556971233937E-3</v>
      </c>
      <c r="P52" s="184">
        <v>1415.24</v>
      </c>
      <c r="Q52" s="184">
        <v>2076.58</v>
      </c>
      <c r="R52" s="184">
        <v>1360.44</v>
      </c>
      <c r="S52" s="184">
        <v>1684.57</v>
      </c>
      <c r="T52" s="184">
        <v>1568.3</v>
      </c>
      <c r="U52" s="184">
        <v>5535.32</v>
      </c>
      <c r="V52" s="184">
        <v>1312.48</v>
      </c>
      <c r="W52" s="184"/>
      <c r="X52" s="184"/>
      <c r="Y52" s="184"/>
      <c r="Z52" s="184"/>
      <c r="AA52" s="184"/>
    </row>
    <row r="53" spans="6:31" ht="15.75" hidden="1" customHeight="1">
      <c r="F53" s="125" t="s">
        <v>242</v>
      </c>
      <c r="G53" s="125" t="s">
        <v>468</v>
      </c>
      <c r="H53" s="125" t="s">
        <v>342</v>
      </c>
      <c r="I53" s="125" t="s">
        <v>492</v>
      </c>
      <c r="J53" s="125" t="s">
        <v>478</v>
      </c>
      <c r="K53" s="125" t="s">
        <v>479</v>
      </c>
      <c r="M53" s="187">
        <f>AVERAGE(Tabela8[[#This Row],[jan./26]:[dez/26]])</f>
        <v>1636.4657142857141</v>
      </c>
      <c r="N53" s="128">
        <f>SUM(Tabela8[[#This Row],[jan./26]:[dez/26]])</f>
        <v>11455.259999999998</v>
      </c>
      <c r="O53" s="19">
        <f>Tabela8[[#This Row],[YTD]]/Tabela8[[#Totals],[YTD]]</f>
        <v>6.3280060263125491E-3</v>
      </c>
      <c r="P53" s="184">
        <v>1129.78</v>
      </c>
      <c r="Q53" s="184">
        <v>1290.21</v>
      </c>
      <c r="R53" s="184">
        <v>2382.27</v>
      </c>
      <c r="S53" s="184">
        <v>1853.04</v>
      </c>
      <c r="T53" s="184">
        <v>3272.59</v>
      </c>
      <c r="U53" s="184">
        <v>1471.97</v>
      </c>
      <c r="V53" s="184">
        <v>55.4</v>
      </c>
      <c r="W53" s="184"/>
      <c r="X53" s="184"/>
      <c r="Y53" s="184"/>
      <c r="Z53" s="184"/>
      <c r="AA53" s="184"/>
    </row>
    <row r="54" spans="6:31" ht="15.75" customHeight="1">
      <c r="F54" s="125" t="s">
        <v>447</v>
      </c>
      <c r="G54" s="125" t="s">
        <v>668</v>
      </c>
      <c r="H54" s="125" t="s">
        <v>675</v>
      </c>
      <c r="I54" s="125" t="s">
        <v>212</v>
      </c>
      <c r="J54" s="125" t="s">
        <v>480</v>
      </c>
      <c r="K54" s="125" t="s">
        <v>476</v>
      </c>
      <c r="M54" s="187">
        <f>AVERAGE(Tabela8[[#This Row],[jan./26]:[dez/26]])</f>
        <v>1260.78</v>
      </c>
      <c r="N54" s="128">
        <f>SUM(Tabela8[[#This Row],[jan./26]:[dez/26]])</f>
        <v>3782.3399999999997</v>
      </c>
      <c r="O54" s="19"/>
      <c r="P54" s="184"/>
      <c r="Q54" s="184"/>
      <c r="R54" s="184"/>
      <c r="S54" s="184"/>
      <c r="T54" s="184">
        <v>1240.1099999999999</v>
      </c>
      <c r="U54" s="184">
        <v>1240.1099999999999</v>
      </c>
      <c r="V54" s="184">
        <v>1302.1199999999999</v>
      </c>
      <c r="W54" s="184"/>
      <c r="X54" s="184"/>
      <c r="Y54" s="184"/>
      <c r="Z54" s="184"/>
      <c r="AA54" s="184"/>
    </row>
    <row r="55" spans="6:31" ht="15.75" hidden="1" customHeight="1">
      <c r="F55" s="125" t="s">
        <v>242</v>
      </c>
      <c r="G55" s="125" t="s">
        <v>460</v>
      </c>
      <c r="H55" s="125" t="s">
        <v>311</v>
      </c>
      <c r="I55" s="125" t="s">
        <v>214</v>
      </c>
      <c r="J55" s="125" t="s">
        <v>475</v>
      </c>
      <c r="K55" s="125" t="s">
        <v>476</v>
      </c>
      <c r="M55" s="187">
        <f>AVERAGE(Tabela8[[#This Row],[jan./26]:[dez/26]])</f>
        <v>2260.0360000000001</v>
      </c>
      <c r="N55" s="128">
        <f>SUM(Tabela8[[#This Row],[jan./26]:[dez/26]])</f>
        <v>11300.18</v>
      </c>
      <c r="O55" s="19">
        <f>Tabela8[[#This Row],[YTD]]/Tabela8[[#Totals],[YTD]]</f>
        <v>6.2423382043198111E-3</v>
      </c>
      <c r="P55" s="184">
        <v>3479.59</v>
      </c>
      <c r="Q55" s="184">
        <v>0</v>
      </c>
      <c r="R55" s="184">
        <v>0</v>
      </c>
      <c r="S55" s="184">
        <v>3282.64</v>
      </c>
      <c r="T55" s="184"/>
      <c r="U55" s="184"/>
      <c r="V55" s="184">
        <v>4537.95</v>
      </c>
      <c r="W55" s="184"/>
      <c r="X55" s="184"/>
      <c r="Y55" s="184"/>
      <c r="Z55" s="184"/>
      <c r="AA55" s="184"/>
    </row>
    <row r="56" spans="6:31" ht="15.75" customHeight="1">
      <c r="F56" s="125" t="s">
        <v>447</v>
      </c>
      <c r="G56" s="125" t="s">
        <v>668</v>
      </c>
      <c r="H56" s="125" t="s">
        <v>335</v>
      </c>
      <c r="I56" s="125" t="s">
        <v>212</v>
      </c>
      <c r="J56" s="125" t="s">
        <v>480</v>
      </c>
      <c r="K56" s="125" t="s">
        <v>487</v>
      </c>
      <c r="M56" s="187">
        <f>AVERAGE(Tabela8[[#This Row],[jan./26]:[dez/26]])</f>
        <v>799.84285714285704</v>
      </c>
      <c r="N56" s="128">
        <f>SUM(Tabela8[[#This Row],[jan./26]:[dez/26]])</f>
        <v>5598.9</v>
      </c>
      <c r="O56" s="19">
        <f>Tabela8[[#This Row],[YTD]]/Tabela8[[#Totals],[YTD]]</f>
        <v>3.0928912081193559E-3</v>
      </c>
      <c r="P56" s="184">
        <v>0</v>
      </c>
      <c r="Q56" s="184">
        <v>1573.45</v>
      </c>
      <c r="R56" s="184">
        <v>1590.23</v>
      </c>
      <c r="S56" s="184">
        <v>748.89</v>
      </c>
      <c r="T56" s="184">
        <v>319.89</v>
      </c>
      <c r="U56" s="184">
        <v>130</v>
      </c>
      <c r="V56" s="184">
        <v>1236.44</v>
      </c>
      <c r="W56" s="184"/>
      <c r="X56" s="184"/>
      <c r="Y56" s="184"/>
      <c r="Z56" s="184"/>
      <c r="AA56" s="184"/>
    </row>
    <row r="57" spans="6:31" ht="15.75" customHeight="1">
      <c r="F57" s="125" t="s">
        <v>447</v>
      </c>
      <c r="G57" s="125" t="s">
        <v>664</v>
      </c>
      <c r="H57" s="125" t="s">
        <v>332</v>
      </c>
      <c r="I57" s="125" t="s">
        <v>211</v>
      </c>
      <c r="J57" s="125" t="s">
        <v>480</v>
      </c>
      <c r="K57" s="125" t="s">
        <v>481</v>
      </c>
      <c r="M57" s="187">
        <f>AVERAGE(Tabela8[[#This Row],[jan./26]:[dez/26]])</f>
        <v>1110.45</v>
      </c>
      <c r="N57" s="128">
        <f>SUM(Tabela8[[#This Row],[jan./26]:[dez/26]])</f>
        <v>7773.15</v>
      </c>
      <c r="O57" s="19">
        <f>Tabela8[[#This Row],[YTD]]/Tabela8[[#Totals],[YTD]]</f>
        <v>4.2939697609160679E-3</v>
      </c>
      <c r="P57" s="184">
        <v>1110.45</v>
      </c>
      <c r="Q57" s="184">
        <v>1110.45</v>
      </c>
      <c r="R57" s="184">
        <v>1110.45</v>
      </c>
      <c r="S57" s="184">
        <v>1110.45</v>
      </c>
      <c r="T57" s="184">
        <v>1110.45</v>
      </c>
      <c r="U57" s="184">
        <v>1110.45</v>
      </c>
      <c r="V57" s="184">
        <v>1110.45</v>
      </c>
      <c r="W57" s="184"/>
      <c r="X57" s="184"/>
      <c r="Y57" s="184"/>
      <c r="Z57" s="184"/>
      <c r="AA57" s="184"/>
    </row>
    <row r="58" spans="6:31" ht="15.75" hidden="1" customHeight="1">
      <c r="F58" s="125" t="s">
        <v>242</v>
      </c>
      <c r="G58" s="125" t="s">
        <v>460</v>
      </c>
      <c r="H58" s="125" t="s">
        <v>320</v>
      </c>
      <c r="I58" s="125" t="s">
        <v>214</v>
      </c>
      <c r="J58" s="125" t="s">
        <v>475</v>
      </c>
      <c r="K58" s="125" t="s">
        <v>476</v>
      </c>
      <c r="M58" s="187">
        <f>AVERAGE(Tabela8[[#This Row],[jan./26]:[dez/26]])</f>
        <v>1743.6179999999999</v>
      </c>
      <c r="N58" s="128">
        <f>SUM(Tabela8[[#This Row],[jan./26]:[dez/26]])</f>
        <v>8718.09</v>
      </c>
      <c r="O58" s="19">
        <f>Tabela8[[#This Row],[YTD]]/Tabela8[[#Totals],[YTD]]</f>
        <v>4.815964548856611E-3</v>
      </c>
      <c r="P58" s="184">
        <v>2575.77</v>
      </c>
      <c r="Q58" s="184">
        <v>0</v>
      </c>
      <c r="R58" s="184">
        <v>0</v>
      </c>
      <c r="S58" s="184">
        <v>2652.46</v>
      </c>
      <c r="T58" s="184"/>
      <c r="U58" s="184"/>
      <c r="V58" s="184">
        <v>3489.86</v>
      </c>
      <c r="W58" s="184"/>
      <c r="X58" s="184"/>
      <c r="Y58" s="184"/>
      <c r="Z58" s="184"/>
      <c r="AA58" s="184"/>
    </row>
    <row r="59" spans="6:31" ht="15.75" customHeight="1">
      <c r="F59" s="125" t="s">
        <v>447</v>
      </c>
      <c r="G59" s="125" t="s">
        <v>655</v>
      </c>
      <c r="H59" s="125" t="s">
        <v>350</v>
      </c>
      <c r="I59" s="125" t="s">
        <v>488</v>
      </c>
      <c r="J59" s="125" t="s">
        <v>478</v>
      </c>
      <c r="K59" s="125" t="s">
        <v>479</v>
      </c>
      <c r="M59" s="187">
        <f>AVERAGE(Tabela8[[#This Row],[jan./26]:[dez/26]])</f>
        <v>1075.7785714285715</v>
      </c>
      <c r="N59" s="128">
        <f>SUM(Tabela8[[#This Row],[jan./26]:[dez/26]])</f>
        <v>7530.45</v>
      </c>
      <c r="O59" s="19">
        <f>Tabela8[[#This Row],[YTD]]/Tabela8[[#Totals],[YTD]]</f>
        <v>4.1598997299795324E-3</v>
      </c>
      <c r="P59" s="184">
        <v>1837.95</v>
      </c>
      <c r="Q59" s="184">
        <v>948.75</v>
      </c>
      <c r="R59" s="184">
        <v>948.75</v>
      </c>
      <c r="S59" s="184">
        <v>948.75</v>
      </c>
      <c r="T59" s="184">
        <v>948.75</v>
      </c>
      <c r="U59" s="184">
        <v>948.75</v>
      </c>
      <c r="V59" s="184">
        <v>948.75</v>
      </c>
      <c r="W59" s="184"/>
      <c r="X59" s="184"/>
      <c r="Y59" s="184"/>
      <c r="Z59" s="184"/>
      <c r="AA59" s="184"/>
    </row>
    <row r="60" spans="6:31" ht="15.75" hidden="1" customHeight="1">
      <c r="F60" s="125" t="s">
        <v>242</v>
      </c>
      <c r="G60" s="125" t="s">
        <v>648</v>
      </c>
      <c r="H60" s="125" t="s">
        <v>336</v>
      </c>
      <c r="I60" s="125" t="s">
        <v>211</v>
      </c>
      <c r="J60" s="125" t="s">
        <v>480</v>
      </c>
      <c r="K60" s="125" t="s">
        <v>486</v>
      </c>
      <c r="M60" s="187">
        <f>AVERAGE(Tabela8[[#This Row],[jan./26]:[dez/26]])</f>
        <v>1201.1699999999998</v>
      </c>
      <c r="N60" s="128">
        <f>SUM(Tabela8[[#This Row],[jan./26]:[dez/26]])</f>
        <v>8408.1899999999987</v>
      </c>
      <c r="O60" s="19">
        <f>Tabela8[[#This Row],[YTD]]/Tabela8[[#Totals],[YTD]]</f>
        <v>4.6447725316039017E-3</v>
      </c>
      <c r="P60" s="184">
        <v>1233.26</v>
      </c>
      <c r="Q60" s="184">
        <v>898.37</v>
      </c>
      <c r="R60" s="184">
        <v>887.89</v>
      </c>
      <c r="S60" s="184">
        <v>1009.82</v>
      </c>
      <c r="T60" s="184">
        <v>1089.23</v>
      </c>
      <c r="U60" s="184">
        <v>1909.56</v>
      </c>
      <c r="V60" s="184">
        <v>1380.06</v>
      </c>
      <c r="W60" s="184"/>
      <c r="X60" s="184"/>
      <c r="Y60" s="184"/>
      <c r="Z60" s="184"/>
      <c r="AA60" s="184"/>
    </row>
    <row r="61" spans="6:31" ht="15.75" hidden="1" customHeight="1">
      <c r="F61" s="125" t="s">
        <v>242</v>
      </c>
      <c r="G61" s="125" t="s">
        <v>213</v>
      </c>
      <c r="H61" s="125" t="s">
        <v>650</v>
      </c>
      <c r="I61" s="125" t="s">
        <v>151</v>
      </c>
      <c r="J61" s="125" t="s">
        <v>493</v>
      </c>
      <c r="K61" s="125" t="s">
        <v>493</v>
      </c>
      <c r="M61" s="187">
        <f>AVERAGE(Tabela8[[#This Row],[jan./26]:[dez/26]])</f>
        <v>1074.1942857142856</v>
      </c>
      <c r="N61" s="128">
        <f>SUM(Tabela8[[#This Row],[jan./26]:[dez/26]])</f>
        <v>7519.36</v>
      </c>
      <c r="O61" s="19">
        <f>Tabela8[[#This Row],[YTD]]/Tabela8[[#Totals],[YTD]]</f>
        <v>4.1537734974163429E-3</v>
      </c>
      <c r="P61" s="184">
        <v>633.42999999999995</v>
      </c>
      <c r="Q61" s="184">
        <v>3587.35</v>
      </c>
      <c r="R61" s="184">
        <v>618.79</v>
      </c>
      <c r="S61" s="184">
        <v>501.6</v>
      </c>
      <c r="T61" s="184">
        <v>471.94</v>
      </c>
      <c r="U61" s="184">
        <v>1120.28</v>
      </c>
      <c r="V61" s="184">
        <v>585.97</v>
      </c>
      <c r="W61" s="184"/>
      <c r="X61" s="184"/>
      <c r="Y61" s="184"/>
      <c r="Z61" s="184"/>
      <c r="AA61" s="184"/>
    </row>
    <row r="62" spans="6:31" ht="15.75" customHeight="1">
      <c r="F62" s="125" t="s">
        <v>447</v>
      </c>
      <c r="G62" s="125" t="s">
        <v>563</v>
      </c>
      <c r="H62" s="125" t="s">
        <v>453</v>
      </c>
      <c r="I62" s="125" t="s">
        <v>211</v>
      </c>
      <c r="J62" s="125" t="s">
        <v>480</v>
      </c>
      <c r="K62" s="125" t="s">
        <v>481</v>
      </c>
      <c r="M62" s="187">
        <f>AVERAGE(Tabela8[[#This Row],[jan./26]:[dez/26]])</f>
        <v>631.73428571428565</v>
      </c>
      <c r="N62" s="128">
        <f>SUM(Tabela8[[#This Row],[jan./26]:[dez/26]])</f>
        <v>4422.1399999999994</v>
      </c>
      <c r="O62" s="19">
        <f>Tabela8[[#This Row],[YTD]]/Tabela8[[#Totals],[YTD]]</f>
        <v>2.4428366155982298E-3</v>
      </c>
      <c r="P62" s="184">
        <v>0</v>
      </c>
      <c r="Q62" s="184">
        <v>0</v>
      </c>
      <c r="R62" s="184">
        <v>874.66</v>
      </c>
      <c r="S62" s="184">
        <v>874.66</v>
      </c>
      <c r="T62" s="184">
        <v>874.66</v>
      </c>
      <c r="U62" s="184">
        <v>874.66</v>
      </c>
      <c r="V62" s="184">
        <v>923.5</v>
      </c>
      <c r="W62" s="184"/>
      <c r="X62" s="184"/>
      <c r="Y62" s="184"/>
      <c r="Z62" s="184"/>
      <c r="AA62" s="184"/>
    </row>
    <row r="63" spans="6:31" ht="15.75" hidden="1" customHeight="1">
      <c r="F63" s="125" t="s">
        <v>242</v>
      </c>
      <c r="G63" s="125" t="s">
        <v>213</v>
      </c>
      <c r="H63" s="125" t="s">
        <v>651</v>
      </c>
      <c r="I63" s="125" t="s">
        <v>136</v>
      </c>
      <c r="J63" s="125" t="s">
        <v>493</v>
      </c>
      <c r="K63" s="125" t="s">
        <v>493</v>
      </c>
      <c r="M63" s="187">
        <f>AVERAGE(Tabela8[[#This Row],[jan./26]:[dez/26]])</f>
        <v>1111.0279999999998</v>
      </c>
      <c r="N63" s="128">
        <f>SUM(Tabela8[[#This Row],[jan./26]:[dez/26]])</f>
        <v>5555.1399999999994</v>
      </c>
      <c r="O63" s="19">
        <f>Tabela8[[#This Row],[YTD]]/Tabela8[[#Totals],[YTD]]</f>
        <v>3.068717724172991E-3</v>
      </c>
      <c r="P63" s="184">
        <v>2433.5700000000002</v>
      </c>
      <c r="Q63" s="184">
        <v>661.05</v>
      </c>
      <c r="R63" s="184">
        <v>642.94000000000005</v>
      </c>
      <c r="S63" s="184">
        <v>1220.3</v>
      </c>
      <c r="T63" s="184">
        <v>597.28</v>
      </c>
      <c r="U63" s="184"/>
      <c r="V63" s="184"/>
      <c r="W63" s="184"/>
      <c r="X63" s="184"/>
      <c r="Y63" s="184"/>
      <c r="Z63" s="184"/>
      <c r="AA63" s="184"/>
    </row>
    <row r="64" spans="6:31" ht="15.75" customHeight="1">
      <c r="F64" s="125" t="s">
        <v>447</v>
      </c>
      <c r="G64" s="125" t="s">
        <v>667</v>
      </c>
      <c r="H64" s="125" t="s">
        <v>25</v>
      </c>
      <c r="I64" s="125" t="s">
        <v>212</v>
      </c>
      <c r="J64" s="125" t="s">
        <v>480</v>
      </c>
      <c r="K64" s="125" t="s">
        <v>486</v>
      </c>
      <c r="L64" s="125" t="s">
        <v>490</v>
      </c>
      <c r="M64" s="187">
        <f>AVERAGE(Tabela8[[#This Row],[jan./26]:[dez/26]])</f>
        <v>907.9799999999999</v>
      </c>
      <c r="N64" s="128">
        <f>SUM(Tabela8[[#This Row],[jan./26]:[dez/26]])</f>
        <v>6355.86</v>
      </c>
      <c r="O64" s="19">
        <f>Tabela8[[#This Row],[YTD]]/Tabela8[[#Totals],[YTD]]</f>
        <v>3.511043868266533E-3</v>
      </c>
      <c r="P64" s="184">
        <v>906.86</v>
      </c>
      <c r="Q64" s="184">
        <v>906.86</v>
      </c>
      <c r="R64" s="184">
        <v>906.86</v>
      </c>
      <c r="S64" s="184">
        <v>906.86</v>
      </c>
      <c r="T64" s="184">
        <v>906.86</v>
      </c>
      <c r="U64" s="184">
        <v>914.7</v>
      </c>
      <c r="V64" s="184">
        <v>906.86</v>
      </c>
      <c r="W64" s="184"/>
      <c r="X64" s="184"/>
      <c r="Y64" s="184"/>
      <c r="Z64" s="184"/>
      <c r="AA64" s="184"/>
    </row>
    <row r="65" spans="6:27" ht="15.75" customHeight="1">
      <c r="F65" s="125" t="s">
        <v>447</v>
      </c>
      <c r="G65" s="125" t="s">
        <v>563</v>
      </c>
      <c r="H65" s="125" t="s">
        <v>452</v>
      </c>
      <c r="I65" s="125" t="s">
        <v>211</v>
      </c>
      <c r="J65" s="125" t="s">
        <v>480</v>
      </c>
      <c r="K65" s="125" t="s">
        <v>483</v>
      </c>
      <c r="M65" s="187">
        <f>AVERAGE(Tabela8[[#This Row],[jan./26]:[dez/26]])</f>
        <v>743.08571428571429</v>
      </c>
      <c r="N65" s="128">
        <f>SUM(Tabela8[[#This Row],[jan./26]:[dez/26]])</f>
        <v>5201.6000000000004</v>
      </c>
      <c r="O65" s="19">
        <f>Tabela8[[#This Row],[YTD]]/Tabela8[[#Totals],[YTD]]</f>
        <v>2.8734185122351969E-3</v>
      </c>
      <c r="P65" s="184">
        <v>0</v>
      </c>
      <c r="Q65" s="184">
        <v>0</v>
      </c>
      <c r="R65" s="184">
        <v>1200</v>
      </c>
      <c r="S65" s="184">
        <v>1600</v>
      </c>
      <c r="T65" s="184">
        <v>800</v>
      </c>
      <c r="U65" s="184">
        <v>800</v>
      </c>
      <c r="V65" s="184">
        <v>801.6</v>
      </c>
      <c r="W65" s="184"/>
      <c r="X65" s="184"/>
      <c r="Y65" s="184"/>
      <c r="Z65" s="184"/>
      <c r="AA65" s="184"/>
    </row>
    <row r="66" spans="6:27" ht="15.75" customHeight="1">
      <c r="F66" s="125" t="s">
        <v>447</v>
      </c>
      <c r="G66" s="125" t="s">
        <v>668</v>
      </c>
      <c r="H66" s="125" t="s">
        <v>343</v>
      </c>
      <c r="I66" s="125" t="s">
        <v>212</v>
      </c>
      <c r="J66" s="125" t="s">
        <v>480</v>
      </c>
      <c r="K66" s="125" t="s">
        <v>481</v>
      </c>
      <c r="M66" s="187">
        <f>AVERAGE(Tabela8[[#This Row],[jan./26]:[dez/26]])</f>
        <v>745.71428571428567</v>
      </c>
      <c r="N66" s="128">
        <f>SUM(Tabela8[[#This Row],[jan./26]:[dez/26]])</f>
        <v>5220</v>
      </c>
      <c r="O66" s="19">
        <f>Tabela8[[#This Row],[YTD]]/Tabela8[[#Totals],[YTD]]</f>
        <v>2.8835828656312919E-3</v>
      </c>
      <c r="P66" s="184">
        <v>560</v>
      </c>
      <c r="Q66" s="184">
        <v>700</v>
      </c>
      <c r="R66" s="184">
        <v>560</v>
      </c>
      <c r="S66" s="184">
        <v>800</v>
      </c>
      <c r="T66" s="184">
        <v>800</v>
      </c>
      <c r="U66" s="184">
        <v>1000</v>
      </c>
      <c r="V66" s="184">
        <v>800</v>
      </c>
      <c r="W66" s="184"/>
      <c r="X66" s="184"/>
      <c r="Y66" s="184"/>
      <c r="Z66" s="184"/>
      <c r="AA66" s="184"/>
    </row>
    <row r="67" spans="6:27" ht="15.75" customHeight="1">
      <c r="F67" s="125" t="s">
        <v>447</v>
      </c>
      <c r="G67" s="125" t="s">
        <v>665</v>
      </c>
      <c r="H67" s="125" t="s">
        <v>340</v>
      </c>
      <c r="I67" s="125" t="s">
        <v>212</v>
      </c>
      <c r="J67" s="125" t="s">
        <v>480</v>
      </c>
      <c r="K67" s="125" t="s">
        <v>486</v>
      </c>
      <c r="M67" s="187">
        <f>AVERAGE(Tabela8[[#This Row],[jan./26]:[dez/26]])</f>
        <v>684</v>
      </c>
      <c r="N67" s="128">
        <f>SUM(Tabela8[[#This Row],[jan./26]:[dez/26]])</f>
        <v>4788</v>
      </c>
      <c r="O67" s="19">
        <f>Tabela8[[#This Row],[YTD]]/Tabela8[[#Totals],[YTD]]</f>
        <v>2.6449415250273229E-3</v>
      </c>
      <c r="P67" s="184">
        <v>630</v>
      </c>
      <c r="Q67" s="184">
        <v>693</v>
      </c>
      <c r="R67" s="184">
        <v>693</v>
      </c>
      <c r="S67" s="184">
        <v>693</v>
      </c>
      <c r="T67" s="184">
        <v>693</v>
      </c>
      <c r="U67" s="184">
        <v>693</v>
      </c>
      <c r="V67" s="184">
        <v>693</v>
      </c>
      <c r="W67" s="184"/>
      <c r="X67" s="184"/>
      <c r="Y67" s="184"/>
      <c r="Z67" s="184"/>
      <c r="AA67" s="184"/>
    </row>
    <row r="68" spans="6:27" ht="15.75" customHeight="1">
      <c r="F68" s="125" t="s">
        <v>447</v>
      </c>
      <c r="G68" s="125" t="s">
        <v>668</v>
      </c>
      <c r="H68" s="125" t="s">
        <v>318</v>
      </c>
      <c r="I68" s="125" t="s">
        <v>212</v>
      </c>
      <c r="J68" s="125" t="s">
        <v>478</v>
      </c>
      <c r="K68" s="125" t="s">
        <v>479</v>
      </c>
      <c r="M68" s="187">
        <f>AVERAGE(Tabela8[[#This Row],[jan./26]:[dez/26]])</f>
        <v>264.84000000000003</v>
      </c>
      <c r="N68" s="128">
        <f>SUM(Tabela8[[#This Row],[jan./26]:[dez/26]])</f>
        <v>1324.2</v>
      </c>
      <c r="O68" s="19">
        <f>Tabela8[[#This Row],[YTD]]/Tabela8[[#Totals],[YTD]]</f>
        <v>7.3150199821244387E-4</v>
      </c>
      <c r="P68" s="184">
        <v>230.08</v>
      </c>
      <c r="Q68" s="184">
        <v>230.06</v>
      </c>
      <c r="R68" s="184">
        <v>230.06</v>
      </c>
      <c r="S68" s="184">
        <v>0</v>
      </c>
      <c r="T68" s="184"/>
      <c r="U68" s="184"/>
      <c r="V68" s="184">
        <v>634</v>
      </c>
      <c r="W68" s="184"/>
      <c r="X68" s="184"/>
      <c r="Y68" s="184"/>
      <c r="Z68" s="184"/>
      <c r="AA68" s="184"/>
    </row>
    <row r="69" spans="6:27" ht="15.75" customHeight="1">
      <c r="F69" s="125" t="s">
        <v>447</v>
      </c>
      <c r="G69" s="125" t="s">
        <v>213</v>
      </c>
      <c r="H69" s="125" t="s">
        <v>351</v>
      </c>
      <c r="I69" s="125" t="s">
        <v>470</v>
      </c>
      <c r="J69" s="125" t="s">
        <v>493</v>
      </c>
      <c r="K69" s="125" t="s">
        <v>493</v>
      </c>
      <c r="M69" s="187">
        <f>AVERAGE(Tabela8[[#This Row],[jan./26]:[dez/26]])</f>
        <v>349.97428571428571</v>
      </c>
      <c r="N69" s="128">
        <f>SUM(Tabela8[[#This Row],[jan./26]:[dez/26]])</f>
        <v>2449.8200000000002</v>
      </c>
      <c r="O69" s="19">
        <f>Tabela8[[#This Row],[YTD]]/Tabela8[[#Totals],[YTD]]</f>
        <v>1.353306317218554E-3</v>
      </c>
      <c r="P69" s="184">
        <v>306.22000000000003</v>
      </c>
      <c r="Q69" s="184">
        <v>306.22000000000003</v>
      </c>
      <c r="R69" s="184">
        <v>306.22000000000003</v>
      </c>
      <c r="S69" s="184">
        <v>306.22000000000003</v>
      </c>
      <c r="T69" s="184">
        <v>306.22000000000003</v>
      </c>
      <c r="U69" s="184">
        <v>306.22000000000003</v>
      </c>
      <c r="V69" s="184">
        <v>612.5</v>
      </c>
      <c r="W69" s="184"/>
      <c r="X69" s="184"/>
      <c r="Y69" s="184"/>
      <c r="Z69" s="184"/>
      <c r="AA69" s="184"/>
    </row>
    <row r="70" spans="6:27" ht="15.75" hidden="1" customHeight="1">
      <c r="F70" s="125" t="s">
        <v>242</v>
      </c>
      <c r="G70" s="125" t="s">
        <v>213</v>
      </c>
      <c r="H70" s="125" t="s">
        <v>652</v>
      </c>
      <c r="I70" s="125" t="s">
        <v>138</v>
      </c>
      <c r="J70" s="125" t="s">
        <v>493</v>
      </c>
      <c r="K70" s="125" t="s">
        <v>493</v>
      </c>
      <c r="M70" s="187">
        <f>AVERAGE(Tabela8[[#This Row],[jan./26]:[dez/26]])</f>
        <v>889.42833333333328</v>
      </c>
      <c r="N70" s="128">
        <f>SUM(Tabela8[[#This Row],[jan./26]:[dez/26]])</f>
        <v>5336.57</v>
      </c>
      <c r="O70" s="19">
        <f>Tabela8[[#This Row],[YTD]]/Tabela8[[#Totals],[YTD]]</f>
        <v>2.9479773588586174E-3</v>
      </c>
      <c r="P70" s="184">
        <v>899.43</v>
      </c>
      <c r="Q70" s="184">
        <v>451.71</v>
      </c>
      <c r="R70" s="184">
        <v>1327.5</v>
      </c>
      <c r="S70" s="184">
        <v>1261.9100000000001</v>
      </c>
      <c r="T70" s="184">
        <v>919.4</v>
      </c>
      <c r="U70" s="184">
        <v>476.62</v>
      </c>
      <c r="V70" s="184"/>
      <c r="W70" s="184"/>
      <c r="X70" s="184"/>
      <c r="Y70" s="184"/>
      <c r="Z70" s="184"/>
      <c r="AA70" s="184"/>
    </row>
    <row r="71" spans="6:27" ht="15.75" customHeight="1">
      <c r="F71" s="125" t="s">
        <v>447</v>
      </c>
      <c r="G71" s="125" t="s">
        <v>655</v>
      </c>
      <c r="H71" s="125" t="s">
        <v>364</v>
      </c>
      <c r="I71" s="125" t="s">
        <v>488</v>
      </c>
      <c r="J71" s="125" t="s">
        <v>478</v>
      </c>
      <c r="K71" s="125" t="s">
        <v>479</v>
      </c>
      <c r="M71" s="187">
        <f>AVERAGE(Tabela8[[#This Row],[jan./26]:[dez/26]])</f>
        <v>280.274</v>
      </c>
      <c r="N71" s="128">
        <f>SUM(Tabela8[[#This Row],[jan./26]:[dez/26]])</f>
        <v>1401.37</v>
      </c>
      <c r="O71" s="19">
        <f>Tabela8[[#This Row],[YTD]]/Tabela8[[#Totals],[YTD]]</f>
        <v>7.7413151731987027E-4</v>
      </c>
      <c r="P71" s="184">
        <v>0</v>
      </c>
      <c r="Q71" s="184">
        <v>729.42</v>
      </c>
      <c r="R71" s="184">
        <v>80</v>
      </c>
      <c r="S71" s="184">
        <v>0</v>
      </c>
      <c r="T71" s="184"/>
      <c r="U71" s="184"/>
      <c r="V71" s="184">
        <v>591.95000000000005</v>
      </c>
      <c r="W71" s="184"/>
      <c r="X71" s="184"/>
      <c r="Y71" s="184"/>
      <c r="Z71" s="184"/>
      <c r="AA71" s="184"/>
    </row>
    <row r="72" spans="6:27" ht="15.75" customHeight="1">
      <c r="F72" s="125" t="s">
        <v>447</v>
      </c>
      <c r="G72" s="125" t="s">
        <v>563</v>
      </c>
      <c r="H72" s="125" t="s">
        <v>454</v>
      </c>
      <c r="I72" s="125" t="s">
        <v>212</v>
      </c>
      <c r="J72" s="125" t="s">
        <v>480</v>
      </c>
      <c r="K72" s="125" t="s">
        <v>483</v>
      </c>
      <c r="M72" s="187">
        <f>AVERAGE(Tabela8[[#This Row],[jan./26]:[dez/26]])</f>
        <v>139.80285714285714</v>
      </c>
      <c r="N72" s="128">
        <f>SUM(Tabela8[[#This Row],[jan./26]:[dez/26]])</f>
        <v>978.62</v>
      </c>
      <c r="O72" s="19">
        <f>Tabela8[[#This Row],[YTD]]/Tabela8[[#Totals],[YTD]]</f>
        <v>5.405999739394818E-4</v>
      </c>
      <c r="P72" s="184">
        <v>0</v>
      </c>
      <c r="Q72" s="184">
        <v>0</v>
      </c>
      <c r="R72" s="184">
        <v>109.79</v>
      </c>
      <c r="S72" s="184">
        <v>110.33</v>
      </c>
      <c r="T72" s="184">
        <v>105.5</v>
      </c>
      <c r="U72" s="184">
        <v>103.14</v>
      </c>
      <c r="V72" s="184">
        <v>549.86</v>
      </c>
      <c r="W72" s="184"/>
      <c r="X72" s="184"/>
      <c r="Y72" s="184"/>
      <c r="Z72" s="184"/>
      <c r="AA72" s="184"/>
    </row>
    <row r="73" spans="6:27" ht="15.75" customHeight="1">
      <c r="F73" s="125" t="s">
        <v>447</v>
      </c>
      <c r="G73" s="125" t="s">
        <v>668</v>
      </c>
      <c r="H73" s="125" t="s">
        <v>347</v>
      </c>
      <c r="I73" s="125" t="s">
        <v>211</v>
      </c>
      <c r="J73" s="125" t="s">
        <v>480</v>
      </c>
      <c r="K73" s="125" t="s">
        <v>481</v>
      </c>
      <c r="M73" s="187">
        <f>AVERAGE(Tabela8[[#This Row],[jan./26]:[dez/26]])</f>
        <v>431.62142857142862</v>
      </c>
      <c r="N73" s="128">
        <f>SUM(Tabela8[[#This Row],[jan./26]:[dez/26]])</f>
        <v>3021.3500000000004</v>
      </c>
      <c r="O73" s="19">
        <f>Tabela8[[#This Row],[YTD]]/Tabela8[[#Totals],[YTD]]</f>
        <v>1.6690254963745411E-3</v>
      </c>
      <c r="P73" s="184">
        <v>430.44</v>
      </c>
      <c r="Q73" s="184">
        <v>432.81</v>
      </c>
      <c r="R73" s="184">
        <v>430.44</v>
      </c>
      <c r="S73" s="184">
        <v>430.44</v>
      </c>
      <c r="T73" s="184">
        <v>430.44</v>
      </c>
      <c r="U73" s="184">
        <v>430.44</v>
      </c>
      <c r="V73" s="184">
        <v>436.34</v>
      </c>
      <c r="W73" s="184"/>
      <c r="X73" s="184"/>
      <c r="Y73" s="184"/>
      <c r="Z73" s="184"/>
      <c r="AA73" s="184"/>
    </row>
    <row r="74" spans="6:27" ht="15.75" customHeight="1">
      <c r="F74" s="125" t="s">
        <v>447</v>
      </c>
      <c r="G74" s="125" t="s">
        <v>668</v>
      </c>
      <c r="H74" s="125" t="s">
        <v>353</v>
      </c>
      <c r="I74" s="125" t="s">
        <v>211</v>
      </c>
      <c r="J74" s="125" t="s">
        <v>480</v>
      </c>
      <c r="K74" s="125" t="s">
        <v>486</v>
      </c>
      <c r="M74" s="187">
        <f>AVERAGE(Tabela8[[#This Row],[jan./26]:[dez/26]])</f>
        <v>347.84142857142859</v>
      </c>
      <c r="N74" s="128">
        <f>SUM(Tabela8[[#This Row],[jan./26]:[dez/26]])</f>
        <v>2434.8900000000003</v>
      </c>
      <c r="O74" s="19">
        <f>Tabela8[[#This Row],[YTD]]/Tabela8[[#Totals],[YTD]]</f>
        <v>1.3450588282944401E-3</v>
      </c>
      <c r="P74" s="184">
        <v>339.21</v>
      </c>
      <c r="Q74" s="184">
        <v>352.17</v>
      </c>
      <c r="R74" s="184">
        <v>345.21</v>
      </c>
      <c r="S74" s="184">
        <v>357.66</v>
      </c>
      <c r="T74" s="184">
        <v>345.21</v>
      </c>
      <c r="U74" s="184">
        <v>350.22</v>
      </c>
      <c r="V74" s="184">
        <v>345.21</v>
      </c>
      <c r="W74" s="184"/>
      <c r="X74" s="184"/>
      <c r="Y74" s="184"/>
      <c r="Z74" s="184"/>
      <c r="AA74" s="184"/>
    </row>
    <row r="75" spans="6:27" ht="15.75" hidden="1" customHeight="1">
      <c r="F75" s="125" t="s">
        <v>242</v>
      </c>
      <c r="G75" s="125" t="s">
        <v>648</v>
      </c>
      <c r="H75" s="125" t="s">
        <v>345</v>
      </c>
      <c r="I75" s="125" t="s">
        <v>211</v>
      </c>
      <c r="J75" s="125" t="s">
        <v>480</v>
      </c>
      <c r="K75" s="125" t="s">
        <v>486</v>
      </c>
      <c r="M75" s="187">
        <f>AVERAGE(Tabela8[[#This Row],[jan./26]:[dez/26]])</f>
        <v>795.57249999999999</v>
      </c>
      <c r="N75" s="128">
        <f>SUM(Tabela8[[#This Row],[jan./26]:[dez/26]])</f>
        <v>3182.29</v>
      </c>
      <c r="O75" s="19">
        <f>Tabela8[[#This Row],[YTD]]/Tabela8[[#Totals],[YTD]]</f>
        <v>1.7579304439597325E-3</v>
      </c>
      <c r="P75" s="184">
        <v>0</v>
      </c>
      <c r="Q75" s="184">
        <v>3182.29</v>
      </c>
      <c r="R75" s="184">
        <v>0</v>
      </c>
      <c r="S75" s="184">
        <v>0</v>
      </c>
      <c r="T75" s="184"/>
      <c r="U75" s="184"/>
      <c r="V75" s="184"/>
      <c r="W75" s="184"/>
      <c r="X75" s="184"/>
      <c r="Y75" s="184"/>
      <c r="Z75" s="184"/>
      <c r="AA75" s="184"/>
    </row>
    <row r="76" spans="6:27" ht="15.75" customHeight="1">
      <c r="F76" s="125" t="s">
        <v>447</v>
      </c>
      <c r="G76" s="125" t="s">
        <v>648</v>
      </c>
      <c r="H76" s="125" t="s">
        <v>336</v>
      </c>
      <c r="I76" s="125" t="s">
        <v>211</v>
      </c>
      <c r="J76" s="125" t="s">
        <v>480</v>
      </c>
      <c r="K76" s="125" t="s">
        <v>486</v>
      </c>
      <c r="M76" s="187">
        <f>AVERAGE(Tabela8[[#This Row],[jan./26]:[dez/26]])</f>
        <v>355.49571428571426</v>
      </c>
      <c r="N76" s="128">
        <f>SUM(Tabela8[[#This Row],[jan./26]:[dez/26]])</f>
        <v>2488.4699999999998</v>
      </c>
      <c r="O76" s="19">
        <f>Tabela8[[#This Row],[YTD]]/Tabela8[[#Totals],[YTD]]</f>
        <v>1.3746569834554598E-3</v>
      </c>
      <c r="P76" s="184">
        <v>414.91</v>
      </c>
      <c r="Q76" s="184">
        <v>381.71</v>
      </c>
      <c r="R76" s="184">
        <v>314.88</v>
      </c>
      <c r="S76" s="184">
        <v>407.32</v>
      </c>
      <c r="T76" s="184">
        <v>361.33</v>
      </c>
      <c r="U76" s="184">
        <v>304.16000000000003</v>
      </c>
      <c r="V76" s="184">
        <v>304.16000000000003</v>
      </c>
      <c r="W76" s="184"/>
      <c r="X76" s="184"/>
      <c r="Y76" s="184"/>
      <c r="Z76" s="184"/>
      <c r="AA76" s="184"/>
    </row>
    <row r="77" spans="6:27" ht="15.75" customHeight="1">
      <c r="F77" s="125" t="s">
        <v>447</v>
      </c>
      <c r="G77" s="125" t="s">
        <v>677</v>
      </c>
      <c r="H77" t="s">
        <v>450</v>
      </c>
      <c r="I77" s="125" t="s">
        <v>211</v>
      </c>
      <c r="J77" s="125" t="s">
        <v>480</v>
      </c>
      <c r="K77" s="125" t="s">
        <v>481</v>
      </c>
      <c r="M77" s="187">
        <f>AVERAGE(Tabela8[[#This Row],[jan./26]:[dez/26]])</f>
        <v>254.91666666666666</v>
      </c>
      <c r="N77" s="128">
        <f>SUM(Tabela8[[#This Row],[jan./26]:[dez/26]])</f>
        <v>764.75</v>
      </c>
      <c r="O77" s="19"/>
      <c r="P77" s="184"/>
      <c r="Q77" s="184"/>
      <c r="R77" s="184"/>
      <c r="S77" s="184"/>
      <c r="T77" s="184">
        <v>247.67</v>
      </c>
      <c r="U77" s="184">
        <v>258.54000000000002</v>
      </c>
      <c r="V77" s="184">
        <v>258.54000000000002</v>
      </c>
      <c r="W77" s="184"/>
      <c r="X77" s="184"/>
      <c r="Y77" s="184"/>
      <c r="Z77" s="184"/>
      <c r="AA77" s="184"/>
    </row>
    <row r="78" spans="6:27" ht="15.75" customHeight="1">
      <c r="F78" s="125" t="s">
        <v>447</v>
      </c>
      <c r="G78" s="125" t="s">
        <v>394</v>
      </c>
      <c r="H78" t="s">
        <v>659</v>
      </c>
      <c r="I78" s="125" t="s">
        <v>445</v>
      </c>
      <c r="J78" s="125" t="s">
        <v>480</v>
      </c>
      <c r="K78" s="125" t="s">
        <v>481</v>
      </c>
      <c r="M78" s="187">
        <f>AVERAGE(Tabela8[[#This Row],[jan./26]:[dez/26]])</f>
        <v>967.22833333333335</v>
      </c>
      <c r="N78" s="128">
        <f>SUM(Tabela8[[#This Row],[jan./26]:[dez/26]])</f>
        <v>5803.37</v>
      </c>
      <c r="O78" s="19">
        <f>Tabela8[[#This Row],[YTD]]/Tabela8[[#Totals],[YTD]]</f>
        <v>3.2058425852334615E-3</v>
      </c>
      <c r="P78" s="184">
        <v>1307.22</v>
      </c>
      <c r="Q78" s="184">
        <v>0</v>
      </c>
      <c r="R78" s="184">
        <v>1421</v>
      </c>
      <c r="S78" s="184">
        <v>2702.7</v>
      </c>
      <c r="T78" s="184">
        <v>165.79</v>
      </c>
      <c r="U78" s="184"/>
      <c r="V78" s="184">
        <v>206.66</v>
      </c>
      <c r="W78" s="184"/>
      <c r="X78" s="184"/>
      <c r="Y78" s="184"/>
      <c r="Z78" s="184"/>
      <c r="AA78" s="184"/>
    </row>
    <row r="79" spans="6:27" ht="15.75" customHeight="1">
      <c r="F79" s="125" t="s">
        <v>447</v>
      </c>
      <c r="G79" s="125" t="s">
        <v>666</v>
      </c>
      <c r="H79" s="125" t="s">
        <v>455</v>
      </c>
      <c r="I79" s="125" t="s">
        <v>212</v>
      </c>
      <c r="J79" s="125" t="s">
        <v>480</v>
      </c>
      <c r="K79" s="125" t="s">
        <v>487</v>
      </c>
      <c r="M79" s="187">
        <f>AVERAGE(Tabela8[[#This Row],[jan./26]:[dez/26]])</f>
        <v>247.82857142857145</v>
      </c>
      <c r="N79" s="128">
        <f>SUM(Tabela8[[#This Row],[jan./26]:[dez/26]])</f>
        <v>1734.8000000000002</v>
      </c>
      <c r="O79" s="19">
        <f>Tabela8[[#This Row],[YTD]]/Tabela8[[#Totals],[YTD]]</f>
        <v>9.5832175388834589E-4</v>
      </c>
      <c r="P79" s="184">
        <v>0</v>
      </c>
      <c r="Q79" s="184">
        <v>0</v>
      </c>
      <c r="R79" s="184">
        <v>664.9</v>
      </c>
      <c r="S79" s="184">
        <v>195</v>
      </c>
      <c r="T79" s="184">
        <v>195</v>
      </c>
      <c r="U79" s="184">
        <v>484.9</v>
      </c>
      <c r="V79" s="184">
        <v>195</v>
      </c>
      <c r="W79" s="184"/>
      <c r="X79" s="184"/>
      <c r="Y79" s="184"/>
      <c r="Z79" s="184"/>
      <c r="AA79" s="184"/>
    </row>
    <row r="80" spans="6:27" ht="15.75" customHeight="1">
      <c r="F80" s="125" t="s">
        <v>447</v>
      </c>
      <c r="G80" s="125" t="s">
        <v>394</v>
      </c>
      <c r="H80" t="s">
        <v>660</v>
      </c>
      <c r="I80" s="125" t="s">
        <v>445</v>
      </c>
      <c r="J80" s="125" t="s">
        <v>480</v>
      </c>
      <c r="K80" s="125" t="s">
        <v>481</v>
      </c>
      <c r="M80" s="187">
        <f>AVERAGE(Tabela8[[#This Row],[jan./26]:[dez/26]])</f>
        <v>286.61285714285714</v>
      </c>
      <c r="N80" s="128">
        <f>SUM(Tabela8[[#This Row],[jan./26]:[dez/26]])</f>
        <v>2006.29</v>
      </c>
      <c r="O80" s="19">
        <f>Tabela8[[#This Row],[YTD]]/Tabela8[[#Totals],[YTD]]</f>
        <v>1.1082956834267059E-3</v>
      </c>
      <c r="P80" s="184">
        <v>559.04</v>
      </c>
      <c r="Q80" s="184">
        <v>0</v>
      </c>
      <c r="R80" s="184">
        <v>250.33</v>
      </c>
      <c r="S80" s="184">
        <v>639.34</v>
      </c>
      <c r="T80" s="184">
        <v>283.82</v>
      </c>
      <c r="U80" s="184">
        <v>80</v>
      </c>
      <c r="V80" s="184">
        <v>193.76</v>
      </c>
      <c r="W80" s="184"/>
      <c r="X80" s="184"/>
      <c r="Y80" s="184"/>
      <c r="Z80" s="184"/>
      <c r="AA80" s="184"/>
    </row>
    <row r="81" spans="6:27" ht="15.75" customHeight="1">
      <c r="F81" s="125" t="s">
        <v>447</v>
      </c>
      <c r="G81" s="125" t="s">
        <v>674</v>
      </c>
      <c r="H81" t="s">
        <v>673</v>
      </c>
      <c r="I81" s="125" t="s">
        <v>212</v>
      </c>
      <c r="J81" s="125" t="s">
        <v>480</v>
      </c>
      <c r="K81" s="125" t="s">
        <v>476</v>
      </c>
      <c r="M81" s="187">
        <f>AVERAGE(Tabela8[[#This Row],[jan./26]:[dez/26]])</f>
        <v>186.24333333333334</v>
      </c>
      <c r="N81" s="128">
        <f>SUM(Tabela8[[#This Row],[jan./26]:[dez/26]])</f>
        <v>558.73</v>
      </c>
      <c r="O81" s="19"/>
      <c r="P81" s="184"/>
      <c r="Q81" s="184"/>
      <c r="R81" s="184"/>
      <c r="S81" s="184"/>
      <c r="T81" s="184">
        <v>184</v>
      </c>
      <c r="U81" s="184">
        <v>184</v>
      </c>
      <c r="V81" s="184">
        <v>190.73</v>
      </c>
      <c r="W81" s="184"/>
      <c r="X81" s="184"/>
      <c r="Y81" s="184"/>
      <c r="Z81" s="184"/>
      <c r="AA81" s="184"/>
    </row>
    <row r="82" spans="6:27" ht="15.75" customHeight="1">
      <c r="F82" s="125" t="s">
        <v>447</v>
      </c>
      <c r="G82" s="125" t="s">
        <v>669</v>
      </c>
      <c r="H82" s="125" t="s">
        <v>214</v>
      </c>
      <c r="I82" s="125" t="s">
        <v>214</v>
      </c>
      <c r="J82" s="125" t="s">
        <v>475</v>
      </c>
      <c r="K82" s="125" t="s">
        <v>476</v>
      </c>
      <c r="M82" s="187">
        <f>AVERAGE(Tabela8[[#This Row],[jan./26]:[dez/26]])</f>
        <v>223.41499999999999</v>
      </c>
      <c r="N82" s="128">
        <f>SUM(Tabela8[[#This Row],[jan./26]:[dez/26]])</f>
        <v>893.66</v>
      </c>
      <c r="O82" s="19">
        <f>Tabela8[[#This Row],[YTD]]/Tabela8[[#Totals],[YTD]]</f>
        <v>4.9366717695403448E-4</v>
      </c>
      <c r="P82" s="184">
        <v>893.66</v>
      </c>
      <c r="Q82" s="184">
        <v>0</v>
      </c>
      <c r="R82" s="184">
        <v>0</v>
      </c>
      <c r="S82" s="184">
        <v>0</v>
      </c>
      <c r="T82" s="184"/>
      <c r="U82" s="184"/>
      <c r="V82" s="184"/>
      <c r="W82" s="184"/>
      <c r="X82" s="184"/>
      <c r="Y82" s="184"/>
      <c r="Z82" s="184"/>
      <c r="AA82" s="184"/>
    </row>
    <row r="83" spans="6:27" ht="15.75" customHeight="1">
      <c r="F83" s="125" t="s">
        <v>447</v>
      </c>
      <c r="G83" s="125" t="s">
        <v>460</v>
      </c>
      <c r="H83" s="125" t="s">
        <v>214</v>
      </c>
      <c r="I83" s="125" t="s">
        <v>214</v>
      </c>
      <c r="J83" s="125" t="s">
        <v>475</v>
      </c>
      <c r="K83" s="125" t="s">
        <v>476</v>
      </c>
      <c r="M83" s="187">
        <f>AVERAGE(Tabela8[[#This Row],[jan./26]:[dez/26]])</f>
        <v>18.234999999999999</v>
      </c>
      <c r="N83" s="128">
        <f>SUM(Tabela8[[#This Row],[jan./26]:[dez/26]])</f>
        <v>72.94</v>
      </c>
      <c r="O83" s="19">
        <f>Tabela8[[#This Row],[YTD]]/Tabela8[[#Totals],[YTD]]</f>
        <v>4.0292822647346057E-5</v>
      </c>
      <c r="P83" s="184">
        <v>3.97</v>
      </c>
      <c r="Q83" s="184">
        <v>7.45</v>
      </c>
      <c r="R83" s="184">
        <v>26.36</v>
      </c>
      <c r="S83" s="184">
        <v>35.159999999999997</v>
      </c>
      <c r="T83" s="184"/>
      <c r="U83" s="184"/>
      <c r="V83" s="184"/>
      <c r="W83" s="184"/>
      <c r="X83" s="184"/>
      <c r="Y83" s="184"/>
      <c r="Z83" s="184"/>
      <c r="AA83" s="184"/>
    </row>
    <row r="84" spans="6:27" ht="15.75" hidden="1" customHeight="1">
      <c r="F84" s="125" t="s">
        <v>242</v>
      </c>
      <c r="G84" s="125" t="s">
        <v>460</v>
      </c>
      <c r="H84" s="125" t="s">
        <v>313</v>
      </c>
      <c r="I84" s="125" t="s">
        <v>214</v>
      </c>
      <c r="J84" s="125" t="s">
        <v>475</v>
      </c>
      <c r="K84" s="125" t="s">
        <v>476</v>
      </c>
      <c r="M84" s="187">
        <f>AVERAGE(Tabela8[[#This Row],[jan./26]:[dez/26]])</f>
        <v>627.62142857142862</v>
      </c>
      <c r="N84" s="128">
        <f>SUM(Tabela8[[#This Row],[jan./26]:[dez/26]])</f>
        <v>4393.3500000000004</v>
      </c>
      <c r="O84" s="19">
        <f>Tabela8[[#This Row],[YTD]]/Tabela8[[#Totals],[YTD]]</f>
        <v>2.4269327169964055E-3</v>
      </c>
      <c r="P84" s="184">
        <v>374.51</v>
      </c>
      <c r="Q84" s="184">
        <v>285.12</v>
      </c>
      <c r="R84" s="184">
        <v>468.31</v>
      </c>
      <c r="S84" s="184">
        <v>840.98</v>
      </c>
      <c r="T84" s="184">
        <v>486.19</v>
      </c>
      <c r="U84" s="184">
        <v>1202.1500000000001</v>
      </c>
      <c r="V84" s="184">
        <v>736.09</v>
      </c>
      <c r="W84" s="184"/>
      <c r="X84" s="184"/>
      <c r="Y84" s="184"/>
      <c r="Z84" s="184"/>
      <c r="AA84" s="184"/>
    </row>
    <row r="85" spans="6:27" ht="15.75" customHeight="1">
      <c r="F85" s="125" t="s">
        <v>447</v>
      </c>
      <c r="G85" s="125" t="s">
        <v>655</v>
      </c>
      <c r="H85" s="125" t="s">
        <v>365</v>
      </c>
      <c r="I85" s="125" t="s">
        <v>212</v>
      </c>
      <c r="J85" s="125" t="s">
        <v>480</v>
      </c>
      <c r="K85" s="125" t="s">
        <v>486</v>
      </c>
      <c r="M85" s="187">
        <f>AVERAGE(Tabela8[[#This Row],[jan./26]:[dez/26]])</f>
        <v>120.36571428571428</v>
      </c>
      <c r="N85" s="128">
        <f>SUM(Tabela8[[#This Row],[jan./26]:[dez/26]])</f>
        <v>842.56</v>
      </c>
      <c r="O85" s="19">
        <f>Tabela8[[#This Row],[YTD]]/Tabela8[[#Totals],[YTD]]</f>
        <v>4.6543899985944463E-4</v>
      </c>
      <c r="P85" s="184">
        <v>120</v>
      </c>
      <c r="Q85" s="184">
        <v>120</v>
      </c>
      <c r="R85" s="184">
        <v>120</v>
      </c>
      <c r="S85" s="184">
        <v>120</v>
      </c>
      <c r="T85" s="184">
        <v>120</v>
      </c>
      <c r="U85" s="184">
        <v>120</v>
      </c>
      <c r="V85" s="184">
        <v>122.56</v>
      </c>
      <c r="W85" s="184"/>
      <c r="X85" s="184"/>
      <c r="Y85" s="184"/>
      <c r="Z85" s="184"/>
      <c r="AA85" s="184"/>
    </row>
    <row r="86" spans="6:27" ht="15.75" customHeight="1">
      <c r="F86" s="125" t="s">
        <v>447</v>
      </c>
      <c r="G86" s="125" t="s">
        <v>669</v>
      </c>
      <c r="H86" s="125" t="s">
        <v>348</v>
      </c>
      <c r="I86" s="125" t="s">
        <v>212</v>
      </c>
      <c r="J86" s="125" t="s">
        <v>475</v>
      </c>
      <c r="K86" s="125" t="s">
        <v>476</v>
      </c>
      <c r="M86" s="187">
        <f>AVERAGE(Tabela8[[#This Row],[jan./26]:[dez/26]])</f>
        <v>732.07833333333338</v>
      </c>
      <c r="N86" s="128">
        <f>SUM(Tabela8[[#This Row],[jan./26]:[dez/26]])</f>
        <v>4392.47</v>
      </c>
      <c r="O86" s="19">
        <f>Tabela8[[#This Row],[YTD]]/Tabela8[[#Totals],[YTD]]</f>
        <v>2.4264465957470269E-3</v>
      </c>
      <c r="P86" s="184">
        <v>579.79</v>
      </c>
      <c r="Q86" s="184">
        <v>555.49</v>
      </c>
      <c r="R86" s="184">
        <v>585.72</v>
      </c>
      <c r="S86" s="184">
        <v>671.39</v>
      </c>
      <c r="T86" s="184"/>
      <c r="U86" s="184">
        <v>1924.12</v>
      </c>
      <c r="V86" s="184">
        <v>75.959999999999994</v>
      </c>
      <c r="W86" s="184"/>
      <c r="X86" s="184"/>
      <c r="Y86" s="184"/>
      <c r="Z86" s="184"/>
      <c r="AA86" s="184"/>
    </row>
    <row r="87" spans="6:27" ht="15.75" hidden="1" customHeight="1">
      <c r="F87" s="125" t="s">
        <v>242</v>
      </c>
      <c r="G87" s="125" t="s">
        <v>306</v>
      </c>
      <c r="H87" s="125" t="s">
        <v>339</v>
      </c>
      <c r="I87" s="125" t="s">
        <v>212</v>
      </c>
      <c r="J87" s="125" t="s">
        <v>475</v>
      </c>
      <c r="K87" s="125" t="s">
        <v>481</v>
      </c>
      <c r="M87" s="187">
        <f>AVERAGE(Tabela8[[#This Row],[jan./26]:[dez/26]])</f>
        <v>552.98500000000001</v>
      </c>
      <c r="N87" s="128">
        <f>SUM(Tabela8[[#This Row],[jan./26]:[dez/26]])</f>
        <v>3317.91</v>
      </c>
      <c r="O87" s="19">
        <f>Tabela8[[#This Row],[YTD]]/Tabela8[[#Totals],[YTD]]</f>
        <v>1.8328483574150802E-3</v>
      </c>
      <c r="P87" s="184">
        <v>632.21</v>
      </c>
      <c r="Q87" s="184">
        <v>361.33</v>
      </c>
      <c r="R87" s="184">
        <v>457.73</v>
      </c>
      <c r="S87" s="184">
        <v>766.02</v>
      </c>
      <c r="T87" s="184">
        <v>624.66</v>
      </c>
      <c r="U87" s="184">
        <v>475.96</v>
      </c>
      <c r="V87" s="184"/>
      <c r="W87" s="184"/>
      <c r="X87" s="184"/>
      <c r="Y87" s="184"/>
      <c r="Z87" s="184"/>
      <c r="AA87" s="184"/>
    </row>
    <row r="88" spans="6:27" ht="15.75" customHeight="1">
      <c r="F88" s="125" t="s">
        <v>447</v>
      </c>
      <c r="G88" s="125" t="s">
        <v>669</v>
      </c>
      <c r="H88" s="125" t="s">
        <v>670</v>
      </c>
      <c r="I88" s="125" t="s">
        <v>212</v>
      </c>
      <c r="J88" s="125" t="s">
        <v>475</v>
      </c>
      <c r="K88" s="125" t="s">
        <v>479</v>
      </c>
      <c r="M88" s="187">
        <f>AVERAGE(Tabela8[[#This Row],[jan./26]:[dez/26]])</f>
        <v>17.406666666666666</v>
      </c>
      <c r="N88" s="128">
        <f>SUM(Tabela8[[#This Row],[jan./26]:[dez/26]])</f>
        <v>52.22</v>
      </c>
      <c r="O88" s="19"/>
      <c r="P88" s="184"/>
      <c r="Q88" s="184"/>
      <c r="R88" s="184"/>
      <c r="S88" s="184"/>
      <c r="T88" s="184">
        <v>25.97</v>
      </c>
      <c r="U88" s="184">
        <v>3.5</v>
      </c>
      <c r="V88" s="184">
        <v>22.75</v>
      </c>
      <c r="W88" s="184"/>
      <c r="X88" s="184"/>
      <c r="Y88" s="184"/>
      <c r="Z88" s="184"/>
      <c r="AA88" s="184"/>
    </row>
    <row r="89" spans="6:27" ht="15.75" customHeight="1">
      <c r="F89" s="125" t="s">
        <v>447</v>
      </c>
      <c r="G89" s="125" t="s">
        <v>461</v>
      </c>
      <c r="H89" s="125" t="s">
        <v>366</v>
      </c>
      <c r="I89" s="125" t="s">
        <v>477</v>
      </c>
      <c r="J89" s="125" t="s">
        <v>478</v>
      </c>
      <c r="K89" s="125" t="s">
        <v>479</v>
      </c>
      <c r="M89" s="187">
        <f>AVERAGE(Tabela8[[#This Row],[jan./26]:[dez/26]])</f>
        <v>42254.29</v>
      </c>
      <c r="N89" s="128">
        <f>SUM(Tabela8[[#This Row],[jan./26]:[dez/26]])</f>
        <v>169017.16</v>
      </c>
      <c r="O89" s="19">
        <f>Tabela8[[#This Row],[YTD]]/Tabela8[[#Totals],[YTD]]</f>
        <v>9.3366855665452594E-2</v>
      </c>
      <c r="P89" s="184">
        <v>169017.16</v>
      </c>
      <c r="Q89" s="184">
        <v>0</v>
      </c>
      <c r="R89" s="184">
        <v>0</v>
      </c>
      <c r="S89" s="184">
        <v>0</v>
      </c>
      <c r="T89" s="184"/>
      <c r="U89" s="184"/>
      <c r="V89" s="184"/>
      <c r="W89" s="184"/>
      <c r="X89" s="184"/>
      <c r="Y89" s="184"/>
      <c r="Z89" s="184"/>
      <c r="AA89" s="184"/>
    </row>
    <row r="90" spans="6:27" ht="15.75" hidden="1" customHeight="1">
      <c r="F90" s="125" t="s">
        <v>242</v>
      </c>
      <c r="G90" s="125" t="s">
        <v>213</v>
      </c>
      <c r="H90" s="125" t="s">
        <v>653</v>
      </c>
      <c r="I90" s="125" t="s">
        <v>232</v>
      </c>
      <c r="J90" s="125" t="s">
        <v>493</v>
      </c>
      <c r="K90" s="125" t="s">
        <v>493</v>
      </c>
      <c r="M90" s="187">
        <f>AVERAGE(Tabela8[[#This Row],[jan./26]:[dez/26]])</f>
        <v>470.89714285714291</v>
      </c>
      <c r="N90" s="128">
        <f>SUM(Tabela8[[#This Row],[jan./26]:[dez/26]])</f>
        <v>3296.28</v>
      </c>
      <c r="O90" s="19">
        <f>Tabela8[[#This Row],[YTD]]/Tabela8[[#Totals],[YTD]]</f>
        <v>1.8208997180695623E-3</v>
      </c>
      <c r="P90" s="184">
        <v>759.08</v>
      </c>
      <c r="Q90" s="184">
        <v>536.25</v>
      </c>
      <c r="R90" s="184">
        <v>249.68</v>
      </c>
      <c r="S90" s="184">
        <v>149.22999999999999</v>
      </c>
      <c r="T90" s="184">
        <v>1055.3399999999999</v>
      </c>
      <c r="U90" s="184">
        <v>304.72000000000003</v>
      </c>
      <c r="V90" s="184">
        <v>241.98</v>
      </c>
      <c r="W90" s="184"/>
      <c r="X90" s="184"/>
      <c r="Y90" s="184"/>
      <c r="Z90" s="184"/>
      <c r="AA90" s="184"/>
    </row>
    <row r="91" spans="6:27" ht="15.75" hidden="1" customHeight="1">
      <c r="F91" s="125" t="s">
        <v>242</v>
      </c>
      <c r="G91" s="125" t="s">
        <v>668</v>
      </c>
      <c r="H91" s="125" t="s">
        <v>668</v>
      </c>
      <c r="I91" s="125" t="s">
        <v>212</v>
      </c>
      <c r="J91" s="125" t="s">
        <v>478</v>
      </c>
      <c r="K91" s="125" t="s">
        <v>479</v>
      </c>
      <c r="M91" s="187">
        <f>AVERAGE(Tabela8[[#This Row],[jan./26]:[dez/26]])</f>
        <v>271.72500000000002</v>
      </c>
      <c r="N91" s="128">
        <f>SUM(Tabela8[[#This Row],[jan./26]:[dez/26]])</f>
        <v>543.45000000000005</v>
      </c>
      <c r="O91" s="19"/>
      <c r="P91" s="184"/>
      <c r="Q91" s="184"/>
      <c r="R91" s="184"/>
      <c r="S91" s="184"/>
      <c r="T91" s="186"/>
      <c r="U91" s="184">
        <v>471.45</v>
      </c>
      <c r="V91" s="184">
        <v>72</v>
      </c>
      <c r="W91" s="184"/>
      <c r="X91" s="184"/>
      <c r="Y91" s="184"/>
      <c r="Z91" s="184"/>
      <c r="AA91" s="184"/>
    </row>
    <row r="92" spans="6:27" ht="15.75" hidden="1" customHeight="1">
      <c r="F92" s="125" t="s">
        <v>242</v>
      </c>
      <c r="G92" s="125" t="s">
        <v>648</v>
      </c>
      <c r="H92" s="125" t="s">
        <v>354</v>
      </c>
      <c r="I92" s="125" t="s">
        <v>211</v>
      </c>
      <c r="J92" s="125" t="s">
        <v>480</v>
      </c>
      <c r="K92" s="125" t="s">
        <v>486</v>
      </c>
      <c r="M92" s="187">
        <f>AVERAGE(Tabela8[[#This Row],[jan./26]:[dez/26]])</f>
        <v>447.33333333333331</v>
      </c>
      <c r="N92" s="128">
        <f>SUM(Tabela8[[#This Row],[jan./26]:[dez/26]])</f>
        <v>2684</v>
      </c>
      <c r="O92" s="19">
        <f>Tabela8[[#This Row],[YTD]]/Tabela8[[#Totals],[YTD]]</f>
        <v>1.4826698106042888E-3</v>
      </c>
      <c r="P92" s="184">
        <v>374</v>
      </c>
      <c r="Q92" s="184">
        <v>484</v>
      </c>
      <c r="R92" s="184">
        <v>440</v>
      </c>
      <c r="S92" s="184">
        <v>440</v>
      </c>
      <c r="T92" s="184">
        <v>462</v>
      </c>
      <c r="U92" s="184"/>
      <c r="V92" s="184">
        <v>484</v>
      </c>
      <c r="W92" s="184"/>
      <c r="X92" s="184"/>
      <c r="Y92" s="184"/>
      <c r="Z92" s="184"/>
      <c r="AA92" s="184"/>
    </row>
    <row r="93" spans="6:27" ht="15.75" customHeight="1">
      <c r="F93" s="125" t="s">
        <v>447</v>
      </c>
      <c r="G93" s="125" t="s">
        <v>213</v>
      </c>
      <c r="H93" s="125" t="s">
        <v>321</v>
      </c>
      <c r="I93" s="125" t="s">
        <v>138</v>
      </c>
      <c r="J93" s="125" t="s">
        <v>493</v>
      </c>
      <c r="K93" s="125" t="s">
        <v>493</v>
      </c>
      <c r="M93" s="187">
        <f>AVERAGE(Tabela8[[#This Row],[jan./26]:[dez/26]])</f>
        <v>7758.9500000000007</v>
      </c>
      <c r="N93" s="128">
        <f>SUM(Tabela8[[#This Row],[jan./26]:[dez/26]])</f>
        <v>46553.700000000004</v>
      </c>
      <c r="O93" s="19">
        <f>Tabela8[[#This Row],[YTD]]/Tabela8[[#Totals],[YTD]]</f>
        <v>2.5716753189988405E-2</v>
      </c>
      <c r="P93" s="184">
        <v>7882.39</v>
      </c>
      <c r="Q93" s="184">
        <v>5562.64</v>
      </c>
      <c r="R93" s="184">
        <v>9052.19</v>
      </c>
      <c r="S93" s="184">
        <v>9870.4</v>
      </c>
      <c r="T93" s="184">
        <v>7708.14</v>
      </c>
      <c r="U93" s="184">
        <v>6477.94</v>
      </c>
      <c r="V93" s="184"/>
      <c r="W93" s="184"/>
      <c r="X93" s="184"/>
      <c r="Y93" s="184"/>
      <c r="Z93" s="184"/>
      <c r="AA93" s="184"/>
    </row>
    <row r="94" spans="6:27" ht="15.75" customHeight="1">
      <c r="F94" s="125" t="s">
        <v>447</v>
      </c>
      <c r="G94" s="125" t="s">
        <v>394</v>
      </c>
      <c r="H94" t="s">
        <v>658</v>
      </c>
      <c r="I94" s="125" t="s">
        <v>445</v>
      </c>
      <c r="J94" s="125" t="s">
        <v>480</v>
      </c>
      <c r="K94" s="125" t="s">
        <v>481</v>
      </c>
      <c r="M94" s="187">
        <f>AVERAGE(Tabela8[[#This Row],[jan./26]:[dez/26]])</f>
        <v>3623.3033333333333</v>
      </c>
      <c r="N94" s="128">
        <f>SUM(Tabela8[[#This Row],[jan./26]:[dez/26]])</f>
        <v>21739.82</v>
      </c>
      <c r="O94" s="19">
        <f>Tabela8[[#This Row],[YTD]]/Tabela8[[#Totals],[YTD]]</f>
        <v>1.2009305067798558E-2</v>
      </c>
      <c r="P94" s="184">
        <v>0</v>
      </c>
      <c r="Q94" s="184">
        <v>0</v>
      </c>
      <c r="R94" s="184">
        <v>4878</v>
      </c>
      <c r="S94" s="184">
        <v>1718.3</v>
      </c>
      <c r="T94" s="184">
        <v>11951.52</v>
      </c>
      <c r="U94" s="184">
        <v>3192</v>
      </c>
      <c r="V94" s="184"/>
      <c r="W94" s="184"/>
      <c r="X94" s="184"/>
      <c r="Y94" s="184"/>
      <c r="Z94" s="184"/>
      <c r="AA94" s="184"/>
    </row>
    <row r="95" spans="6:27" ht="15.75" customHeight="1">
      <c r="F95" s="125" t="s">
        <v>447</v>
      </c>
      <c r="G95" s="125" t="s">
        <v>674</v>
      </c>
      <c r="H95" t="s">
        <v>671</v>
      </c>
      <c r="I95" s="125" t="s">
        <v>212</v>
      </c>
      <c r="J95" s="125" t="s">
        <v>480</v>
      </c>
      <c r="K95" s="125" t="s">
        <v>476</v>
      </c>
      <c r="M95" s="187">
        <f>AVERAGE(Tabela8[[#This Row],[jan./26]:[dez/26]])</f>
        <v>3180</v>
      </c>
      <c r="N95" s="128">
        <f>SUM(Tabela8[[#This Row],[jan./26]:[dez/26]])</f>
        <v>3180</v>
      </c>
      <c r="O95" s="19"/>
      <c r="P95" s="184"/>
      <c r="Q95" s="184"/>
      <c r="R95" s="184"/>
      <c r="S95" s="184"/>
      <c r="T95" s="184">
        <v>3180</v>
      </c>
      <c r="U95" s="184"/>
      <c r="V95" s="184"/>
      <c r="W95" s="184"/>
      <c r="X95" s="184"/>
      <c r="Y95" s="184"/>
      <c r="Z95" s="184"/>
      <c r="AA95" s="184"/>
    </row>
    <row r="96" spans="6:27" ht="15.75" customHeight="1">
      <c r="F96" s="125" t="s">
        <v>447</v>
      </c>
      <c r="G96" s="125" t="s">
        <v>674</v>
      </c>
      <c r="H96" t="s">
        <v>672</v>
      </c>
      <c r="I96" s="125" t="s">
        <v>212</v>
      </c>
      <c r="J96" s="125" t="s">
        <v>480</v>
      </c>
      <c r="K96" s="125" t="s">
        <v>476</v>
      </c>
      <c r="M96" s="187">
        <f>AVERAGE(Tabela8[[#This Row],[jan./26]:[dez/26]])</f>
        <v>2538.5</v>
      </c>
      <c r="N96" s="128">
        <f>SUM(Tabela8[[#This Row],[jan./26]:[dez/26]])</f>
        <v>2538.5</v>
      </c>
      <c r="O96" s="19"/>
      <c r="P96" s="184"/>
      <c r="Q96" s="184"/>
      <c r="R96" s="184"/>
      <c r="S96" s="184"/>
      <c r="T96" s="184">
        <v>2538.5</v>
      </c>
      <c r="U96" s="184"/>
      <c r="V96" s="184"/>
      <c r="W96" s="184"/>
      <c r="X96" s="184"/>
      <c r="Y96" s="184"/>
      <c r="Z96" s="184"/>
      <c r="AA96" s="184"/>
    </row>
    <row r="97" spans="6:27" ht="15.75" hidden="1" customHeight="1">
      <c r="F97" s="125" t="s">
        <v>242</v>
      </c>
      <c r="G97" s="125" t="s">
        <v>655</v>
      </c>
      <c r="H97" s="125" t="s">
        <v>458</v>
      </c>
      <c r="I97" s="125" t="s">
        <v>488</v>
      </c>
      <c r="J97" s="125" t="s">
        <v>478</v>
      </c>
      <c r="K97" s="125" t="s">
        <v>479</v>
      </c>
      <c r="M97" s="187">
        <f>AVERAGE(Tabela8[[#This Row],[jan./26]:[dez/26]])</f>
        <v>350</v>
      </c>
      <c r="N97" s="128">
        <f>SUM(Tabela8[[#This Row],[jan./26]:[dez/26]])</f>
        <v>1400</v>
      </c>
      <c r="O97" s="19">
        <f>Tabela8[[#This Row],[YTD]]/Tabela8[[#Totals],[YTD]]</f>
        <v>7.7337471492026986E-4</v>
      </c>
      <c r="P97" s="184">
        <v>0</v>
      </c>
      <c r="Q97" s="184">
        <v>1400</v>
      </c>
      <c r="R97" s="184">
        <v>0</v>
      </c>
      <c r="S97" s="184">
        <v>0</v>
      </c>
      <c r="T97" s="184"/>
      <c r="U97" s="184"/>
      <c r="V97" s="184"/>
      <c r="W97" s="184"/>
      <c r="X97" s="184"/>
      <c r="Y97" s="184"/>
      <c r="Z97" s="184"/>
      <c r="AA97" s="184"/>
    </row>
    <row r="98" spans="6:27" ht="15.75" customHeight="1">
      <c r="F98" s="125" t="s">
        <v>447</v>
      </c>
      <c r="G98" s="125" t="s">
        <v>666</v>
      </c>
      <c r="H98" s="125" t="s">
        <v>325</v>
      </c>
      <c r="I98" s="125" t="s">
        <v>488</v>
      </c>
      <c r="J98" s="125" t="s">
        <v>480</v>
      </c>
      <c r="K98" s="125" t="s">
        <v>487</v>
      </c>
      <c r="M98" s="187">
        <f>AVERAGE(Tabela8[[#This Row],[jan./26]:[dez/26]])</f>
        <v>2067.904</v>
      </c>
      <c r="N98" s="128">
        <f>SUM(Tabela8[[#This Row],[jan./26]:[dez/26]])</f>
        <v>10339.52</v>
      </c>
      <c r="O98" s="19">
        <f>Tabela8[[#This Row],[YTD]]/Tabela8[[#Totals],[YTD]]</f>
        <v>5.7116595231517346E-3</v>
      </c>
      <c r="P98" s="184">
        <v>3023.06</v>
      </c>
      <c r="Q98" s="184">
        <v>1769.37</v>
      </c>
      <c r="R98" s="184">
        <v>3639.46</v>
      </c>
      <c r="S98" s="184">
        <v>1347.44</v>
      </c>
      <c r="T98" s="184">
        <v>560.19000000000005</v>
      </c>
      <c r="U98" s="184"/>
      <c r="V98" s="184"/>
      <c r="W98" s="184"/>
      <c r="X98" s="184"/>
      <c r="Y98" s="184"/>
      <c r="Z98" s="184"/>
      <c r="AA98" s="184"/>
    </row>
    <row r="99" spans="6:27" ht="15.75" hidden="1" customHeight="1">
      <c r="F99" s="125" t="s">
        <v>242</v>
      </c>
      <c r="G99" s="125" t="s">
        <v>655</v>
      </c>
      <c r="H99" s="125" t="s">
        <v>360</v>
      </c>
      <c r="I99" s="125" t="s">
        <v>211</v>
      </c>
      <c r="J99" s="125" t="s">
        <v>480</v>
      </c>
      <c r="K99" s="125" t="s">
        <v>486</v>
      </c>
      <c r="M99" s="187">
        <f>AVERAGE(Tabela8[[#This Row],[jan./26]:[dez/26]])</f>
        <v>341.2833333333333</v>
      </c>
      <c r="N99" s="128">
        <f>SUM(Tabela8[[#This Row],[jan./26]:[dez/26]])</f>
        <v>2047.6999999999998</v>
      </c>
      <c r="O99" s="19">
        <f>Tabela8[[#This Row],[YTD]]/Tabela8[[#Totals],[YTD]]</f>
        <v>1.1311710026730259E-3</v>
      </c>
      <c r="P99" s="184">
        <v>315.94</v>
      </c>
      <c r="Q99" s="184">
        <v>309.64999999999998</v>
      </c>
      <c r="R99" s="184">
        <v>353.64</v>
      </c>
      <c r="S99" s="184">
        <v>353.64</v>
      </c>
      <c r="T99" s="184">
        <v>353.64</v>
      </c>
      <c r="U99" s="184">
        <v>361.19</v>
      </c>
      <c r="V99" s="184"/>
      <c r="W99" s="184"/>
      <c r="X99" s="184"/>
      <c r="Y99" s="184"/>
      <c r="Z99" s="184"/>
      <c r="AA99" s="184"/>
    </row>
    <row r="100" spans="6:27" ht="15.75" hidden="1" customHeight="1">
      <c r="F100" s="125" t="s">
        <v>242</v>
      </c>
      <c r="G100" s="125" t="s">
        <v>655</v>
      </c>
      <c r="H100" s="125" t="s">
        <v>359</v>
      </c>
      <c r="I100" s="125" t="s">
        <v>211</v>
      </c>
      <c r="J100" s="125" t="s">
        <v>480</v>
      </c>
      <c r="K100" s="125" t="s">
        <v>486</v>
      </c>
      <c r="M100" s="187">
        <f>AVERAGE(Tabela8[[#This Row],[jan./26]:[dez/26]])</f>
        <v>317.40142857142854</v>
      </c>
      <c r="N100" s="128">
        <f>SUM(Tabela8[[#This Row],[jan./26]:[dez/26]])</f>
        <v>2221.81</v>
      </c>
      <c r="O100" s="19">
        <f>Tabela8[[#This Row],[YTD]]/Tabela8[[#Totals],[YTD]]</f>
        <v>1.2273511966835748E-3</v>
      </c>
      <c r="P100" s="184">
        <v>314.12</v>
      </c>
      <c r="Q100" s="184">
        <v>314.12</v>
      </c>
      <c r="R100" s="184">
        <v>314.12</v>
      </c>
      <c r="S100" s="184">
        <v>314.12</v>
      </c>
      <c r="T100" s="184">
        <v>314.12</v>
      </c>
      <c r="U100" s="184">
        <v>314.12</v>
      </c>
      <c r="V100" s="184">
        <v>337.09</v>
      </c>
      <c r="W100" s="184"/>
      <c r="X100" s="184"/>
      <c r="Y100" s="184"/>
      <c r="Z100" s="184"/>
      <c r="AA100" s="184"/>
    </row>
    <row r="101" spans="6:27" ht="15.75" customHeight="1">
      <c r="F101" s="125" t="s">
        <v>447</v>
      </c>
      <c r="G101" s="125" t="s">
        <v>213</v>
      </c>
      <c r="H101" s="125" t="s">
        <v>366</v>
      </c>
      <c r="I101" s="125" t="s">
        <v>477</v>
      </c>
      <c r="J101" s="125" t="s">
        <v>478</v>
      </c>
      <c r="K101" s="125" t="s">
        <v>479</v>
      </c>
      <c r="M101" s="187">
        <f>AVERAGE(Tabela8[[#This Row],[jan./26]:[dez/26]])</f>
        <v>1750</v>
      </c>
      <c r="N101" s="128">
        <f>SUM(Tabela8[[#This Row],[jan./26]:[dez/26]])</f>
        <v>7000</v>
      </c>
      <c r="O101" s="19">
        <f>Tabela8[[#This Row],[YTD]]/Tabela8[[#Totals],[YTD]]</f>
        <v>3.866873574601349E-3</v>
      </c>
      <c r="P101" s="184">
        <v>7000</v>
      </c>
      <c r="Q101" s="184">
        <v>0</v>
      </c>
      <c r="R101" s="184">
        <v>0</v>
      </c>
      <c r="S101" s="184">
        <v>0</v>
      </c>
      <c r="T101" s="184"/>
      <c r="U101" s="184"/>
      <c r="V101" s="184"/>
      <c r="W101" s="184"/>
      <c r="X101" s="184"/>
      <c r="Y101" s="184"/>
      <c r="Z101" s="184"/>
      <c r="AA101" s="184"/>
    </row>
    <row r="102" spans="6:27" ht="15.75" customHeight="1">
      <c r="F102" s="125" t="s">
        <v>447</v>
      </c>
      <c r="G102" s="125" t="s">
        <v>668</v>
      </c>
      <c r="H102" s="125" t="s">
        <v>668</v>
      </c>
      <c r="I102" s="125" t="s">
        <v>212</v>
      </c>
      <c r="J102" s="125" t="s">
        <v>478</v>
      </c>
      <c r="K102" s="125" t="s">
        <v>479</v>
      </c>
      <c r="M102" s="187">
        <f>AVERAGE(Tabela8[[#This Row],[jan./26]:[dez/26]])</f>
        <v>942.9</v>
      </c>
      <c r="N102" s="128">
        <f>SUM(Tabela8[[#This Row],[jan./26]:[dez/26]])</f>
        <v>942.9</v>
      </c>
      <c r="O102" s="19"/>
      <c r="P102" s="184"/>
      <c r="Q102" s="184"/>
      <c r="R102" s="184"/>
      <c r="S102" s="184"/>
      <c r="T102" s="186"/>
      <c r="U102" s="184">
        <v>942.9</v>
      </c>
      <c r="V102" s="184"/>
      <c r="W102" s="184"/>
      <c r="X102" s="184"/>
      <c r="Y102" s="184"/>
      <c r="Z102" s="184"/>
      <c r="AA102" s="184"/>
    </row>
    <row r="103" spans="6:27" ht="15.75" hidden="1" customHeight="1">
      <c r="F103" s="125" t="s">
        <v>242</v>
      </c>
      <c r="G103" s="125" t="s">
        <v>308</v>
      </c>
      <c r="H103" s="125" t="s">
        <v>333</v>
      </c>
      <c r="I103" s="125" t="s">
        <v>212</v>
      </c>
      <c r="J103" s="125" t="s">
        <v>480</v>
      </c>
      <c r="K103" s="125" t="s">
        <v>487</v>
      </c>
      <c r="M103" s="187">
        <f>AVERAGE(Tabela8[[#This Row],[jan./26]:[dez/26]])</f>
        <v>300</v>
      </c>
      <c r="N103" s="128">
        <f>SUM(Tabela8[[#This Row],[jan./26]:[dez/26]])</f>
        <v>1200</v>
      </c>
      <c r="O103" s="19">
        <f>Tabela8[[#This Row],[YTD]]/Tabela8[[#Totals],[YTD]]</f>
        <v>6.6289261278880266E-4</v>
      </c>
      <c r="P103" s="184">
        <v>0</v>
      </c>
      <c r="Q103" s="184">
        <v>1200</v>
      </c>
      <c r="R103" s="184">
        <v>0</v>
      </c>
      <c r="S103" s="184">
        <v>0</v>
      </c>
      <c r="T103" s="184"/>
      <c r="U103" s="184"/>
      <c r="V103" s="184"/>
      <c r="W103" s="184"/>
      <c r="X103" s="184"/>
      <c r="Y103" s="184"/>
      <c r="Z103" s="184"/>
      <c r="AA103" s="184"/>
    </row>
    <row r="104" spans="6:27" ht="15.75" hidden="1" customHeight="1">
      <c r="F104" s="125" t="s">
        <v>242</v>
      </c>
      <c r="G104" s="125" t="s">
        <v>460</v>
      </c>
      <c r="H104" s="125" t="s">
        <v>312</v>
      </c>
      <c r="I104" s="125" t="s">
        <v>214</v>
      </c>
      <c r="J104" s="125" t="s">
        <v>475</v>
      </c>
      <c r="K104" s="125" t="s">
        <v>476</v>
      </c>
      <c r="M104" s="187">
        <f>AVERAGE(Tabela8[[#This Row],[jan./26]:[dez/26]])</f>
        <v>444.22333333333336</v>
      </c>
      <c r="N104" s="128">
        <f>SUM(Tabela8[[#This Row],[jan./26]:[dez/26]])</f>
        <v>2665.34</v>
      </c>
      <c r="O104" s="19">
        <f>Tabela8[[#This Row],[YTD]]/Tabela8[[#Totals],[YTD]]</f>
        <v>1.472361830475423E-3</v>
      </c>
      <c r="P104" s="184">
        <v>224.71</v>
      </c>
      <c r="Q104" s="184">
        <v>171.07</v>
      </c>
      <c r="R104" s="184">
        <v>280.99</v>
      </c>
      <c r="S104" s="184">
        <v>504.59</v>
      </c>
      <c r="T104" s="184">
        <v>295.08</v>
      </c>
      <c r="U104" s="184"/>
      <c r="V104" s="184">
        <v>1188.9000000000001</v>
      </c>
      <c r="W104" s="184"/>
      <c r="X104" s="184"/>
      <c r="Y104" s="184"/>
      <c r="Z104" s="184"/>
      <c r="AA104" s="184"/>
    </row>
    <row r="105" spans="6:27" ht="15.75" customHeight="1">
      <c r="F105" s="125" t="s">
        <v>447</v>
      </c>
      <c r="G105" s="125" t="s">
        <v>668</v>
      </c>
      <c r="H105" s="125" t="s">
        <v>349</v>
      </c>
      <c r="I105" s="125" t="s">
        <v>212</v>
      </c>
      <c r="J105" s="125" t="s">
        <v>480</v>
      </c>
      <c r="K105" s="125" t="s">
        <v>483</v>
      </c>
      <c r="M105" s="187">
        <f>AVERAGE(Tabela8[[#This Row],[jan./26]:[dez/26]])</f>
        <v>902.86</v>
      </c>
      <c r="N105" s="128">
        <f>SUM(Tabela8[[#This Row],[jan./26]:[dez/26]])</f>
        <v>4514.3</v>
      </c>
      <c r="O105" s="19">
        <f>Tabela8[[#This Row],[YTD]]/Tabela8[[#Totals],[YTD]]</f>
        <v>2.4937467682604104E-3</v>
      </c>
      <c r="P105" s="184">
        <v>3015</v>
      </c>
      <c r="Q105" s="184">
        <v>350</v>
      </c>
      <c r="R105" s="184">
        <v>500</v>
      </c>
      <c r="S105" s="184">
        <v>462</v>
      </c>
      <c r="T105" s="184">
        <v>187.3</v>
      </c>
      <c r="U105" s="184"/>
      <c r="V105" s="184"/>
      <c r="W105" s="184"/>
      <c r="X105" s="184"/>
      <c r="Y105" s="184"/>
      <c r="Z105" s="184"/>
      <c r="AA105" s="184"/>
    </row>
    <row r="106" spans="6:27" ht="15.75" customHeight="1">
      <c r="F106" s="125" t="s">
        <v>447</v>
      </c>
      <c r="G106" s="125" t="s">
        <v>213</v>
      </c>
      <c r="H106" s="125" t="s">
        <v>448</v>
      </c>
      <c r="I106" s="125" t="s">
        <v>140</v>
      </c>
      <c r="J106" s="125" t="s">
        <v>493</v>
      </c>
      <c r="K106" s="125" t="s">
        <v>493</v>
      </c>
      <c r="M106" s="187">
        <f>AVERAGE(Tabela8[[#This Row],[jan./26]:[dez/26]])</f>
        <v>877.95</v>
      </c>
      <c r="N106" s="128">
        <f>SUM(Tabela8[[#This Row],[jan./26]:[dez/26]])</f>
        <v>4389.75</v>
      </c>
      <c r="O106" s="19">
        <f>Tabela8[[#This Row],[YTD]]/Tabela8[[#Totals],[YTD]]</f>
        <v>2.4249440391580388E-3</v>
      </c>
      <c r="P106" s="184">
        <v>2523.87</v>
      </c>
      <c r="Q106" s="184">
        <v>1682.89</v>
      </c>
      <c r="R106" s="184">
        <v>0</v>
      </c>
      <c r="S106" s="184">
        <v>0</v>
      </c>
      <c r="T106" s="184"/>
      <c r="U106" s="184">
        <v>182.99</v>
      </c>
      <c r="V106" s="184"/>
      <c r="W106" s="184"/>
      <c r="X106" s="184"/>
      <c r="Y106" s="184"/>
      <c r="Z106" s="184"/>
      <c r="AA106" s="184"/>
    </row>
    <row r="107" spans="6:27" ht="15.75" customHeight="1">
      <c r="F107" s="125" t="s">
        <v>447</v>
      </c>
      <c r="G107" s="125" t="s">
        <v>324</v>
      </c>
      <c r="H107" s="125" t="s">
        <v>368</v>
      </c>
      <c r="I107" s="125" t="s">
        <v>492</v>
      </c>
      <c r="J107" s="125" t="s">
        <v>478</v>
      </c>
      <c r="K107" s="125" t="s">
        <v>479</v>
      </c>
      <c r="M107" s="187">
        <f>AVERAGE(Tabela8[[#This Row],[jan./26]:[dez/26]])</f>
        <v>853.40599999999972</v>
      </c>
      <c r="N107" s="128">
        <f>SUM(Tabela8[[#This Row],[jan./26]:[dez/26]])</f>
        <v>4267.0299999999988</v>
      </c>
      <c r="O107" s="19">
        <f>Tabela8[[#This Row],[YTD]]/Tabela8[[#Totals],[YTD]]</f>
        <v>2.3571522212901702E-3</v>
      </c>
      <c r="P107" s="184">
        <v>3790.2</v>
      </c>
      <c r="Q107" s="184">
        <v>148.74</v>
      </c>
      <c r="R107" s="184">
        <v>182.61</v>
      </c>
      <c r="S107" s="184">
        <v>72.75</v>
      </c>
      <c r="T107" s="184">
        <v>72.73</v>
      </c>
      <c r="U107" s="184"/>
      <c r="V107" s="184"/>
      <c r="W107" s="184"/>
      <c r="X107" s="184"/>
      <c r="Y107" s="184"/>
      <c r="Z107" s="184"/>
      <c r="AA107" s="184"/>
    </row>
    <row r="108" spans="6:27" ht="15.75" hidden="1" customHeight="1">
      <c r="F108" s="125" t="s">
        <v>242</v>
      </c>
      <c r="G108" s="125" t="s">
        <v>324</v>
      </c>
      <c r="H108" s="125" t="s">
        <v>459</v>
      </c>
      <c r="I108" s="125" t="s">
        <v>492</v>
      </c>
      <c r="J108" s="125" t="s">
        <v>478</v>
      </c>
      <c r="K108" s="125" t="s">
        <v>479</v>
      </c>
      <c r="M108" s="187">
        <f>AVERAGE(Tabela8[[#This Row],[jan./26]:[dez/26]])</f>
        <v>245</v>
      </c>
      <c r="N108" s="128">
        <f>SUM(Tabela8[[#This Row],[jan./26]:[dez/26]])</f>
        <v>980</v>
      </c>
      <c r="O108" s="19">
        <f>Tabela8[[#This Row],[YTD]]/Tabela8[[#Totals],[YTD]]</f>
        <v>5.4136230044418894E-4</v>
      </c>
      <c r="P108" s="184">
        <v>0</v>
      </c>
      <c r="Q108" s="184">
        <v>980</v>
      </c>
      <c r="R108" s="184">
        <v>0</v>
      </c>
      <c r="S108" s="184">
        <v>0</v>
      </c>
      <c r="T108" s="184"/>
      <c r="U108" s="184"/>
      <c r="V108" s="184"/>
      <c r="W108" s="184"/>
      <c r="X108" s="184"/>
      <c r="Y108" s="184"/>
      <c r="Z108" s="184"/>
      <c r="AA108" s="184"/>
    </row>
    <row r="109" spans="6:27" ht="15.75" customHeight="1">
      <c r="F109" s="125" t="s">
        <v>447</v>
      </c>
      <c r="G109" s="125" t="s">
        <v>666</v>
      </c>
      <c r="H109" s="125" t="s">
        <v>333</v>
      </c>
      <c r="I109" s="125" t="s">
        <v>212</v>
      </c>
      <c r="J109" s="125" t="s">
        <v>480</v>
      </c>
      <c r="K109" s="125" t="s">
        <v>487</v>
      </c>
      <c r="M109" s="187">
        <f>AVERAGE(Tabela8[[#This Row],[jan./26]:[dez/26]])</f>
        <v>764</v>
      </c>
      <c r="N109" s="128">
        <f>SUM(Tabela8[[#This Row],[jan./26]:[dez/26]])</f>
        <v>3820</v>
      </c>
      <c r="O109" s="19">
        <f>Tabela8[[#This Row],[YTD]]/Tabela8[[#Totals],[YTD]]</f>
        <v>2.1102081507110219E-3</v>
      </c>
      <c r="P109" s="184">
        <v>600</v>
      </c>
      <c r="Q109" s="184">
        <v>240</v>
      </c>
      <c r="R109" s="184">
        <v>1300</v>
      </c>
      <c r="S109" s="184">
        <v>1440</v>
      </c>
      <c r="T109" s="184">
        <v>240</v>
      </c>
      <c r="U109" s="184"/>
      <c r="V109" s="184"/>
      <c r="W109" s="184"/>
      <c r="X109" s="184"/>
      <c r="Y109" s="184"/>
      <c r="Z109" s="184"/>
      <c r="AA109" s="184"/>
    </row>
    <row r="110" spans="6:27" ht="15.75" customHeight="1">
      <c r="F110" s="125" t="s">
        <v>447</v>
      </c>
      <c r="G110" s="125" t="s">
        <v>648</v>
      </c>
      <c r="H110" s="125" t="s">
        <v>345</v>
      </c>
      <c r="I110" s="125" t="s">
        <v>211</v>
      </c>
      <c r="J110" s="125" t="s">
        <v>480</v>
      </c>
      <c r="K110" s="125" t="s">
        <v>486</v>
      </c>
      <c r="M110" s="187">
        <f>AVERAGE(Tabela8[[#This Row],[jan./26]:[dez/26]])</f>
        <v>612.53250000000003</v>
      </c>
      <c r="N110" s="128">
        <f>SUM(Tabela8[[#This Row],[jan./26]:[dez/26]])</f>
        <v>2450.13</v>
      </c>
      <c r="O110" s="19">
        <f>Tabela8[[#This Row],[YTD]]/Tabela8[[#Totals],[YTD]]</f>
        <v>1.3534775644768577E-3</v>
      </c>
      <c r="P110" s="184">
        <v>0</v>
      </c>
      <c r="Q110" s="184">
        <v>2450.13</v>
      </c>
      <c r="R110" s="184">
        <v>0</v>
      </c>
      <c r="S110" s="184">
        <v>0</v>
      </c>
      <c r="T110" s="184"/>
      <c r="U110" s="184"/>
      <c r="V110" s="184"/>
      <c r="W110" s="184"/>
      <c r="X110" s="184"/>
      <c r="Y110" s="184"/>
      <c r="Z110" s="184"/>
      <c r="AA110" s="184"/>
    </row>
    <row r="111" spans="6:27" ht="15.75" customHeight="1">
      <c r="F111" s="125" t="s">
        <v>447</v>
      </c>
      <c r="G111" t="s">
        <v>461</v>
      </c>
      <c r="H111" t="s">
        <v>676</v>
      </c>
      <c r="I111" s="125" t="s">
        <v>212</v>
      </c>
      <c r="J111" s="125" t="s">
        <v>475</v>
      </c>
      <c r="K111" s="125" t="s">
        <v>479</v>
      </c>
      <c r="M111" s="187">
        <f>AVERAGE(Tabela8[[#This Row],[jan./26]:[dez/26]])</f>
        <v>600</v>
      </c>
      <c r="N111" s="128">
        <f>SUM(Tabela8[[#This Row],[jan./26]:[dez/26]])</f>
        <v>600</v>
      </c>
      <c r="O111" s="19"/>
      <c r="P111" s="184"/>
      <c r="Q111" s="184"/>
      <c r="R111" s="184"/>
      <c r="S111" s="184"/>
      <c r="T111" s="184">
        <v>600</v>
      </c>
      <c r="U111" s="184"/>
      <c r="V111" s="184"/>
      <c r="W111" s="184"/>
      <c r="X111" s="184"/>
      <c r="Y111" s="184"/>
      <c r="Z111" s="184"/>
      <c r="AA111" s="184"/>
    </row>
    <row r="112" spans="6:27" ht="15.75" customHeight="1">
      <c r="F112" s="125" t="s">
        <v>447</v>
      </c>
      <c r="G112" s="125" t="s">
        <v>563</v>
      </c>
      <c r="H112" s="125" t="s">
        <v>449</v>
      </c>
      <c r="I112" s="125" t="s">
        <v>482</v>
      </c>
      <c r="J112" s="125" t="s">
        <v>479</v>
      </c>
      <c r="K112" s="125" t="s">
        <v>479</v>
      </c>
      <c r="M112" s="187">
        <f>AVERAGE(Tabela8[[#This Row],[jan./26]:[dez/26]])</f>
        <v>5575.5825000000004</v>
      </c>
      <c r="N112" s="128">
        <f>SUM(Tabela8[[#This Row],[jan./26]:[dez/26]])</f>
        <v>22302.33</v>
      </c>
      <c r="O112" s="19">
        <f>Tabela8[[#This Row],[YTD]]/Tabela8[[#Totals],[YTD]]</f>
        <v>1.2320041504148416E-2</v>
      </c>
      <c r="P112" s="184">
        <v>14014.57</v>
      </c>
      <c r="Q112" s="184">
        <v>8287.76</v>
      </c>
      <c r="R112" s="184">
        <v>0</v>
      </c>
      <c r="S112" s="184">
        <v>0</v>
      </c>
      <c r="T112" s="184"/>
      <c r="U112" s="184"/>
      <c r="V112" s="184"/>
      <c r="W112" s="184"/>
      <c r="X112" s="184"/>
      <c r="Y112" s="184"/>
      <c r="Z112" s="184"/>
      <c r="AA112" s="184"/>
    </row>
    <row r="113" spans="6:27" ht="15.75" customHeight="1">
      <c r="F113" s="125" t="s">
        <v>447</v>
      </c>
      <c r="G113" s="125" t="s">
        <v>674</v>
      </c>
      <c r="H113" s="125" t="s">
        <v>338</v>
      </c>
      <c r="I113" s="125" t="s">
        <v>212</v>
      </c>
      <c r="J113" s="125" t="s">
        <v>480</v>
      </c>
      <c r="K113" s="125" t="s">
        <v>486</v>
      </c>
      <c r="L113" s="125" t="s">
        <v>491</v>
      </c>
      <c r="M113" s="187">
        <f>AVERAGE(Tabela8[[#This Row],[jan./26]:[dez/26]])</f>
        <v>537.1825</v>
      </c>
      <c r="N113" s="128">
        <f>SUM(Tabela8[[#This Row],[jan./26]:[dez/26]])</f>
        <v>2148.73</v>
      </c>
      <c r="O113" s="19">
        <f>Tabela8[[#This Row],[YTD]]/Tabela8[[#Totals],[YTD]]</f>
        <v>1.1869810365647366E-3</v>
      </c>
      <c r="P113" s="184">
        <v>1523.59</v>
      </c>
      <c r="Q113" s="184">
        <v>98.14</v>
      </c>
      <c r="R113" s="184">
        <v>237</v>
      </c>
      <c r="S113" s="184">
        <v>290</v>
      </c>
      <c r="T113" s="184"/>
      <c r="U113" s="184"/>
      <c r="V113" s="184"/>
      <c r="W113" s="184"/>
      <c r="X113" s="184"/>
      <c r="Y113" s="184"/>
      <c r="Z113" s="184"/>
      <c r="AA113" s="184"/>
    </row>
    <row r="114" spans="6:27" ht="15.75" customHeight="1">
      <c r="F114" s="125" t="s">
        <v>447</v>
      </c>
      <c r="G114" s="125" t="s">
        <v>460</v>
      </c>
      <c r="H114" t="s">
        <v>663</v>
      </c>
      <c r="I114" s="125" t="s">
        <v>214</v>
      </c>
      <c r="J114" s="125" t="s">
        <v>475</v>
      </c>
      <c r="K114" s="125" t="s">
        <v>476</v>
      </c>
      <c r="M114" s="187">
        <f>AVERAGE(Tabela8[[#This Row],[jan./26]:[dez/26]])</f>
        <v>533.55799999999999</v>
      </c>
      <c r="N114" s="128">
        <f>SUM(Tabela8[[#This Row],[jan./26]:[dez/26]])</f>
        <v>2667.79</v>
      </c>
      <c r="O114" s="19">
        <f>Tabela8[[#This Row],[YTD]]/Tabela8[[#Totals],[YTD]]</f>
        <v>1.4737152362265334E-3</v>
      </c>
      <c r="P114" s="184">
        <v>0</v>
      </c>
      <c r="Q114" s="184">
        <v>0</v>
      </c>
      <c r="R114" s="184">
        <v>0</v>
      </c>
      <c r="S114" s="184">
        <v>1426.2</v>
      </c>
      <c r="T114" s="184">
        <v>1241.5899999999999</v>
      </c>
      <c r="U114" s="184"/>
      <c r="V114" s="184"/>
      <c r="W114" s="184"/>
      <c r="X114" s="184"/>
      <c r="Y114" s="184"/>
      <c r="Z114" s="184"/>
      <c r="AA114" s="184"/>
    </row>
    <row r="115" spans="6:27" ht="15.75" hidden="1" customHeight="1">
      <c r="F115" s="125" t="s">
        <v>242</v>
      </c>
      <c r="G115" s="125" t="s">
        <v>213</v>
      </c>
      <c r="H115" s="125" t="s">
        <v>654</v>
      </c>
      <c r="I115" s="125" t="s">
        <v>134</v>
      </c>
      <c r="J115" s="125" t="s">
        <v>493</v>
      </c>
      <c r="K115" s="125" t="s">
        <v>493</v>
      </c>
      <c r="M115" s="187">
        <f>AVERAGE(Tabela8[[#This Row],[jan./26]:[dez/26]])</f>
        <v>195.06199999999998</v>
      </c>
      <c r="N115" s="128">
        <f>SUM(Tabela8[[#This Row],[jan./26]:[dez/26]])</f>
        <v>975.31</v>
      </c>
      <c r="O115" s="19">
        <f>Tabela8[[#This Row],[YTD]]/Tabela8[[#Totals],[YTD]]</f>
        <v>5.3877149514920599E-4</v>
      </c>
      <c r="P115" s="184">
        <v>574.17999999999995</v>
      </c>
      <c r="Q115" s="184">
        <v>0</v>
      </c>
      <c r="R115" s="184">
        <v>0</v>
      </c>
      <c r="S115" s="184">
        <v>0</v>
      </c>
      <c r="T115" s="184"/>
      <c r="U115" s="184">
        <v>401.13</v>
      </c>
      <c r="V115" s="184"/>
      <c r="W115" s="184"/>
      <c r="X115" s="184"/>
      <c r="Y115" s="184"/>
      <c r="Z115" s="184"/>
      <c r="AA115" s="184"/>
    </row>
    <row r="116" spans="6:27" ht="15.75" customHeight="1">
      <c r="F116" s="125" t="s">
        <v>447</v>
      </c>
      <c r="G116" s="125" t="s">
        <v>0</v>
      </c>
      <c r="H116" s="125" t="s">
        <v>362</v>
      </c>
      <c r="I116" s="125" t="s">
        <v>212</v>
      </c>
      <c r="J116" s="125" t="s">
        <v>480</v>
      </c>
      <c r="K116" s="125" t="s">
        <v>487</v>
      </c>
      <c r="M116" s="187">
        <f>AVERAGE(Tabela8[[#This Row],[jan./26]:[dez/26]])</f>
        <v>407.11399999999998</v>
      </c>
      <c r="N116" s="128">
        <f>SUM(Tabela8[[#This Row],[jan./26]:[dez/26]])</f>
        <v>2035.57</v>
      </c>
      <c r="O116" s="19">
        <f>Tabela8[[#This Row],[YTD]]/Tabela8[[#Totals],[YTD]]</f>
        <v>1.1244702631787527E-3</v>
      </c>
      <c r="P116" s="184">
        <v>113.41</v>
      </c>
      <c r="Q116" s="184">
        <v>112.97</v>
      </c>
      <c r="R116" s="184">
        <v>478.36</v>
      </c>
      <c r="S116" s="184">
        <v>794.31</v>
      </c>
      <c r="T116" s="184">
        <v>536.52</v>
      </c>
      <c r="U116" s="184"/>
      <c r="V116" s="184"/>
      <c r="W116" s="184"/>
      <c r="X116" s="184"/>
      <c r="Y116" s="184"/>
      <c r="Z116" s="184"/>
      <c r="AA116" s="184"/>
    </row>
    <row r="117" spans="6:27" ht="15.75" customHeight="1">
      <c r="F117" s="125" t="s">
        <v>447</v>
      </c>
      <c r="G117" s="125" t="s">
        <v>324</v>
      </c>
      <c r="H117" s="125" t="s">
        <v>369</v>
      </c>
      <c r="I117" s="125" t="s">
        <v>492</v>
      </c>
      <c r="J117" s="125" t="s">
        <v>478</v>
      </c>
      <c r="K117" s="125" t="s">
        <v>479</v>
      </c>
      <c r="M117" s="187">
        <f>AVERAGE(Tabela8[[#This Row],[jan./26]:[dez/26]])</f>
        <v>356.41750000000002</v>
      </c>
      <c r="N117" s="128">
        <f>SUM(Tabela8[[#This Row],[jan./26]:[dez/26]])</f>
        <v>1425.67</v>
      </c>
      <c r="O117" s="19">
        <f>Tabela8[[#This Row],[YTD]]/Tabela8[[#Totals],[YTD]]</f>
        <v>7.875550927288437E-4</v>
      </c>
      <c r="P117" s="184">
        <v>0</v>
      </c>
      <c r="Q117" s="184">
        <v>0.02</v>
      </c>
      <c r="R117" s="184">
        <v>1425.65</v>
      </c>
      <c r="S117" s="184">
        <v>0</v>
      </c>
      <c r="T117" s="184"/>
      <c r="U117" s="184"/>
      <c r="V117" s="184"/>
      <c r="W117" s="184"/>
      <c r="X117" s="184"/>
      <c r="Y117" s="184"/>
      <c r="Z117" s="184"/>
      <c r="AA117" s="184"/>
    </row>
    <row r="118" spans="6:27" ht="15.75" hidden="1" customHeight="1">
      <c r="F118" s="125" t="s">
        <v>242</v>
      </c>
      <c r="G118" s="125" t="s">
        <v>655</v>
      </c>
      <c r="H118" s="125" t="s">
        <v>365</v>
      </c>
      <c r="I118" s="125" t="s">
        <v>212</v>
      </c>
      <c r="J118" s="125" t="s">
        <v>480</v>
      </c>
      <c r="K118" s="125" t="s">
        <v>487</v>
      </c>
      <c r="M118" s="187">
        <f>AVERAGE(Tabela8[[#This Row],[jan./26]:[dez/26]])</f>
        <v>142.47999999999999</v>
      </c>
      <c r="N118" s="128">
        <f>SUM(Tabela8[[#This Row],[jan./26]:[dez/26]])</f>
        <v>997.36</v>
      </c>
      <c r="O118" s="19">
        <f>Tabela8[[#This Row],[YTD]]/Tabela8[[#Totals],[YTD]]</f>
        <v>5.5095214690920025E-4</v>
      </c>
      <c r="P118" s="184">
        <v>135</v>
      </c>
      <c r="Q118" s="184">
        <v>135</v>
      </c>
      <c r="R118" s="184">
        <v>120</v>
      </c>
      <c r="S118" s="184">
        <v>120</v>
      </c>
      <c r="T118" s="184">
        <v>120</v>
      </c>
      <c r="U118" s="184">
        <v>120</v>
      </c>
      <c r="V118" s="184">
        <v>247.36</v>
      </c>
      <c r="W118" s="184"/>
      <c r="X118" s="184"/>
      <c r="Y118" s="184"/>
      <c r="Z118" s="184"/>
      <c r="AA118" s="184"/>
    </row>
    <row r="119" spans="6:27" ht="15.75" customHeight="1">
      <c r="F119" s="125" t="s">
        <v>447</v>
      </c>
      <c r="G119" s="125" t="s">
        <v>668</v>
      </c>
      <c r="H119" s="125" t="s">
        <v>358</v>
      </c>
      <c r="I119" s="125" t="s">
        <v>212</v>
      </c>
      <c r="J119" s="125" t="s">
        <v>478</v>
      </c>
      <c r="K119" s="125" t="s">
        <v>486</v>
      </c>
      <c r="M119" s="187">
        <f>AVERAGE(Tabela8[[#This Row],[jan./26]:[dez/26]])</f>
        <v>242.97666666666669</v>
      </c>
      <c r="N119" s="128">
        <f>SUM(Tabela8[[#This Row],[jan./26]:[dez/26]])</f>
        <v>1457.8600000000001</v>
      </c>
      <c r="O119" s="19">
        <f>Tabela8[[#This Row],[YTD]]/Tabela8[[#Totals],[YTD]]</f>
        <v>8.0533718706690335E-4</v>
      </c>
      <c r="P119" s="184">
        <v>409.14</v>
      </c>
      <c r="Q119" s="184">
        <v>336.05</v>
      </c>
      <c r="R119" s="184">
        <v>37.799999999999997</v>
      </c>
      <c r="S119" s="184">
        <v>85</v>
      </c>
      <c r="T119" s="184">
        <v>154.9</v>
      </c>
      <c r="U119" s="184">
        <v>434.97</v>
      </c>
      <c r="V119" s="184"/>
      <c r="W119" s="184"/>
      <c r="X119" s="184"/>
      <c r="Y119" s="184"/>
      <c r="Z119" s="184"/>
      <c r="AA119" s="184"/>
    </row>
    <row r="120" spans="6:27" ht="15.75" customHeight="1">
      <c r="F120" s="125" t="s">
        <v>447</v>
      </c>
      <c r="G120" s="125" t="s">
        <v>563</v>
      </c>
      <c r="H120" s="125" t="s">
        <v>331</v>
      </c>
      <c r="I120" s="125" t="s">
        <v>482</v>
      </c>
      <c r="J120" s="125" t="s">
        <v>479</v>
      </c>
      <c r="K120" s="125" t="s">
        <v>479</v>
      </c>
      <c r="M120" s="187">
        <f>AVERAGE(Tabela8[[#This Row],[jan./26]:[dez/26]])</f>
        <v>646.06999999999994</v>
      </c>
      <c r="N120" s="128">
        <f>SUM(Tabela8[[#This Row],[jan./26]:[dez/26]])</f>
        <v>2584.2799999999997</v>
      </c>
      <c r="O120" s="19">
        <f>Tabela8[[#This Row],[YTD]]/Tabela8[[#Totals],[YTD]]</f>
        <v>1.4275834344815391E-3</v>
      </c>
      <c r="P120" s="184">
        <v>1270.96</v>
      </c>
      <c r="Q120" s="184">
        <v>1313.32</v>
      </c>
      <c r="R120" s="184">
        <v>0</v>
      </c>
      <c r="S120" s="184">
        <v>0</v>
      </c>
      <c r="T120" s="184"/>
      <c r="U120" s="184"/>
      <c r="V120" s="184"/>
      <c r="W120" s="184"/>
      <c r="X120" s="184"/>
      <c r="Y120" s="184"/>
      <c r="Z120" s="184"/>
      <c r="AA120" s="184"/>
    </row>
    <row r="121" spans="6:27" ht="15.75" hidden="1" customHeight="1">
      <c r="F121" s="125" t="s">
        <v>242</v>
      </c>
      <c r="G121" s="125" t="s">
        <v>563</v>
      </c>
      <c r="H121" s="125" t="s">
        <v>451</v>
      </c>
      <c r="I121" s="125" t="s">
        <v>212</v>
      </c>
      <c r="J121" s="125" t="s">
        <v>480</v>
      </c>
      <c r="K121" s="125" t="s">
        <v>486</v>
      </c>
      <c r="M121" s="187">
        <f>AVERAGE(Tabela8[[#This Row],[jan./26]:[dez/26]])</f>
        <v>254.57333333333335</v>
      </c>
      <c r="N121" s="128">
        <f>SUM(Tabela8[[#This Row],[jan./26]:[dez/26]])</f>
        <v>1527.44</v>
      </c>
      <c r="O121" s="19">
        <f>Tabela8[[#This Row],[YTD]]/Tabela8[[#Totals],[YTD]]</f>
        <v>8.4377391039844069E-4</v>
      </c>
      <c r="P121" s="184">
        <v>219.52</v>
      </c>
      <c r="Q121" s="184">
        <v>219.52</v>
      </c>
      <c r="R121" s="184">
        <v>242.71</v>
      </c>
      <c r="S121" s="184">
        <v>242.71</v>
      </c>
      <c r="T121" s="184">
        <v>242.71</v>
      </c>
      <c r="U121" s="184"/>
      <c r="V121" s="184">
        <v>360.27</v>
      </c>
      <c r="W121" s="184"/>
      <c r="X121" s="184"/>
      <c r="Y121" s="184"/>
      <c r="Z121" s="184"/>
      <c r="AA121" s="184"/>
    </row>
    <row r="122" spans="6:27" ht="15.75" customHeight="1">
      <c r="F122" s="125" t="s">
        <v>447</v>
      </c>
      <c r="G122" s="125" t="s">
        <v>0</v>
      </c>
      <c r="H122" s="125" t="s">
        <v>317</v>
      </c>
      <c r="I122" s="125" t="s">
        <v>488</v>
      </c>
      <c r="J122" s="125" t="s">
        <v>478</v>
      </c>
      <c r="K122" s="125" t="s">
        <v>487</v>
      </c>
      <c r="M122" s="187">
        <f>AVERAGE(Tabela8[[#This Row],[jan./26]:[dez/26]])</f>
        <v>220</v>
      </c>
      <c r="N122" s="128">
        <f>SUM(Tabela8[[#This Row],[jan./26]:[dez/26]])</f>
        <v>1100</v>
      </c>
      <c r="O122" s="19">
        <f>Tabela8[[#This Row],[YTD]]/Tabela8[[#Totals],[YTD]]</f>
        <v>6.0765156172306917E-4</v>
      </c>
      <c r="P122" s="184">
        <v>0</v>
      </c>
      <c r="Q122" s="184">
        <v>0</v>
      </c>
      <c r="R122" s="184">
        <v>500</v>
      </c>
      <c r="S122" s="184">
        <v>500</v>
      </c>
      <c r="T122" s="184">
        <v>100</v>
      </c>
      <c r="U122" s="184"/>
      <c r="V122" s="184"/>
      <c r="W122" s="184"/>
      <c r="X122" s="184"/>
      <c r="Y122" s="184"/>
      <c r="Z122" s="184"/>
      <c r="AA122" s="184"/>
    </row>
    <row r="123" spans="6:27" ht="15.75" hidden="1" customHeight="1">
      <c r="F123" s="125" t="s">
        <v>242</v>
      </c>
      <c r="G123" s="125" t="s">
        <v>460</v>
      </c>
      <c r="H123" s="125" t="s">
        <v>334</v>
      </c>
      <c r="I123" s="125" t="s">
        <v>214</v>
      </c>
      <c r="J123" s="125" t="s">
        <v>475</v>
      </c>
      <c r="K123" s="125" t="s">
        <v>476</v>
      </c>
      <c r="M123" s="187">
        <f>AVERAGE(Tabela8[[#This Row],[jan./26]:[dez/26]])</f>
        <v>96.24666666666667</v>
      </c>
      <c r="N123" s="128">
        <f>SUM(Tabela8[[#This Row],[jan./26]:[dez/26]])</f>
        <v>577.48</v>
      </c>
      <c r="O123" s="19">
        <f>Tabela8[[#This Row],[YTD]]/Tabela8[[#Totals],[YTD]]</f>
        <v>3.1900602169439816E-4</v>
      </c>
      <c r="P123" s="184">
        <v>48.69</v>
      </c>
      <c r="Q123" s="184">
        <v>37.06</v>
      </c>
      <c r="R123" s="184">
        <v>60.88</v>
      </c>
      <c r="S123" s="184">
        <v>109.33</v>
      </c>
      <c r="T123" s="184">
        <v>63.93</v>
      </c>
      <c r="U123" s="184"/>
      <c r="V123" s="184">
        <v>257.58999999999997</v>
      </c>
      <c r="W123" s="184"/>
      <c r="X123" s="184"/>
      <c r="Y123" s="184"/>
      <c r="Z123" s="184"/>
      <c r="AA123" s="184"/>
    </row>
    <row r="124" spans="6:27" ht="15.75" hidden="1" customHeight="1">
      <c r="F124" s="125" t="s">
        <v>242</v>
      </c>
      <c r="G124" s="125" t="s">
        <v>213</v>
      </c>
      <c r="H124" s="125" t="s">
        <v>448</v>
      </c>
      <c r="I124" s="125" t="s">
        <v>140</v>
      </c>
      <c r="J124" s="125" t="s">
        <v>493</v>
      </c>
      <c r="K124" s="125" t="s">
        <v>493</v>
      </c>
      <c r="M124" s="187">
        <f>AVERAGE(Tabela8[[#This Row],[jan./26]:[dez/26]])</f>
        <v>53.298571428571435</v>
      </c>
      <c r="N124" s="128">
        <f>SUM(Tabela8[[#This Row],[jan./26]:[dez/26]])</f>
        <v>373.09000000000003</v>
      </c>
      <c r="O124" s="19">
        <f>Tabela8[[#This Row],[YTD]]/Tabela8[[#Totals],[YTD]]</f>
        <v>2.0609883742114536E-4</v>
      </c>
      <c r="P124" s="184">
        <v>99.46</v>
      </c>
      <c r="Q124" s="184">
        <v>167.99</v>
      </c>
      <c r="R124" s="184">
        <v>11.67</v>
      </c>
      <c r="S124" s="184">
        <v>11.67</v>
      </c>
      <c r="T124" s="184">
        <v>44.77</v>
      </c>
      <c r="U124" s="184">
        <v>25.86</v>
      </c>
      <c r="V124" s="184">
        <v>11.67</v>
      </c>
      <c r="W124" s="184"/>
      <c r="X124" s="184"/>
      <c r="Y124" s="184"/>
      <c r="Z124" s="184"/>
      <c r="AA124" s="184"/>
    </row>
    <row r="125" spans="6:27" ht="15.75" customHeight="1">
      <c r="F125" s="125" t="s">
        <v>447</v>
      </c>
      <c r="G125" s="125" t="s">
        <v>310</v>
      </c>
      <c r="H125" s="125" t="s">
        <v>328</v>
      </c>
      <c r="I125" s="125" t="s">
        <v>488</v>
      </c>
      <c r="J125" s="125" t="s">
        <v>478</v>
      </c>
      <c r="K125" s="125" t="s">
        <v>479</v>
      </c>
      <c r="M125" s="187">
        <f>AVERAGE(Tabela8[[#This Row],[jan./26]:[dez/26]])</f>
        <v>209.245</v>
      </c>
      <c r="N125" s="128">
        <f>SUM(Tabela8[[#This Row],[jan./26]:[dez/26]])</f>
        <v>836.98</v>
      </c>
      <c r="O125" s="19">
        <f>Tabela8[[#This Row],[YTD]]/Tabela8[[#Totals],[YTD]]</f>
        <v>4.6235654920997673E-4</v>
      </c>
      <c r="P125" s="184">
        <v>0</v>
      </c>
      <c r="Q125" s="184">
        <v>278.08999999999997</v>
      </c>
      <c r="R125" s="184">
        <v>0</v>
      </c>
      <c r="S125" s="184">
        <v>558.89</v>
      </c>
      <c r="T125" s="184"/>
      <c r="U125" s="184"/>
      <c r="V125" s="184"/>
      <c r="W125" s="184"/>
      <c r="X125" s="184"/>
      <c r="Y125" s="184"/>
      <c r="Z125" s="184"/>
      <c r="AA125" s="184"/>
    </row>
    <row r="126" spans="6:27" ht="15.75" hidden="1" customHeight="1">
      <c r="F126" s="125" t="s">
        <v>242</v>
      </c>
      <c r="G126" s="125" t="s">
        <v>308</v>
      </c>
      <c r="H126" s="125" t="s">
        <v>363</v>
      </c>
      <c r="I126" s="125" t="s">
        <v>212</v>
      </c>
      <c r="J126" s="125" t="s">
        <v>478</v>
      </c>
      <c r="K126" s="125" t="s">
        <v>487</v>
      </c>
      <c r="M126" s="187">
        <f>AVERAGE(Tabela8[[#This Row],[jan./26]:[dez/26]])</f>
        <v>20.862500000000001</v>
      </c>
      <c r="N126" s="128">
        <f>SUM(Tabela8[[#This Row],[jan./26]:[dez/26]])</f>
        <v>83.45</v>
      </c>
      <c r="O126" s="19">
        <f>Tabela8[[#This Row],[YTD]]/Tabela8[[#Totals],[YTD]]</f>
        <v>4.6098657114354654E-5</v>
      </c>
      <c r="P126" s="184">
        <v>0</v>
      </c>
      <c r="Q126" s="184">
        <v>0</v>
      </c>
      <c r="R126" s="184">
        <v>63.4</v>
      </c>
      <c r="S126" s="184">
        <v>20.05</v>
      </c>
      <c r="T126" s="184"/>
      <c r="U126" s="184"/>
      <c r="V126" s="184"/>
      <c r="W126" s="184"/>
      <c r="X126" s="184"/>
      <c r="Y126" s="184"/>
      <c r="Z126" s="184"/>
      <c r="AA126" s="184"/>
    </row>
    <row r="127" spans="6:27" ht="15.75" customHeight="1">
      <c r="F127" s="125" t="s">
        <v>447</v>
      </c>
      <c r="G127" s="125" t="s">
        <v>213</v>
      </c>
      <c r="H127" s="125" t="s">
        <v>346</v>
      </c>
      <c r="I127" s="125" t="s">
        <v>233</v>
      </c>
      <c r="J127" s="125" t="s">
        <v>493</v>
      </c>
      <c r="K127" s="125" t="s">
        <v>493</v>
      </c>
      <c r="M127" s="187">
        <f>AVERAGE(Tabela8[[#This Row],[jan./26]:[dez/26]])</f>
        <v>101.71</v>
      </c>
      <c r="N127" s="128">
        <f>SUM(Tabela8[[#This Row],[jan./26]:[dez/26]])</f>
        <v>610.26</v>
      </c>
      <c r="O127" s="19">
        <f>Tabela8[[#This Row],[YTD]]/Tabela8[[#Totals],[YTD]]</f>
        <v>3.3711403823374561E-4</v>
      </c>
      <c r="P127" s="184">
        <v>101.71</v>
      </c>
      <c r="Q127" s="184">
        <v>101.71</v>
      </c>
      <c r="R127" s="184">
        <v>101.71</v>
      </c>
      <c r="S127" s="184">
        <v>101.71</v>
      </c>
      <c r="T127" s="184">
        <v>101.71</v>
      </c>
      <c r="U127" s="184">
        <v>101.71</v>
      </c>
      <c r="V127" s="184"/>
      <c r="W127" s="184"/>
      <c r="X127" s="184"/>
      <c r="Y127" s="184"/>
      <c r="Z127" s="184"/>
      <c r="AA127" s="184"/>
    </row>
    <row r="128" spans="6:27" ht="15.75" customHeight="1">
      <c r="F128" s="125" t="s">
        <v>447</v>
      </c>
      <c r="G128" s="125" t="s">
        <v>668</v>
      </c>
      <c r="H128" s="125" t="s">
        <v>361</v>
      </c>
      <c r="I128" s="125" t="s">
        <v>212</v>
      </c>
      <c r="J128" s="125" t="s">
        <v>480</v>
      </c>
      <c r="K128" s="125" t="s">
        <v>481</v>
      </c>
      <c r="M128" s="187">
        <f>AVERAGE(Tabela8[[#This Row],[jan./26]:[dez/26]])</f>
        <v>69.864999999999995</v>
      </c>
      <c r="N128" s="128">
        <f>SUM(Tabela8[[#This Row],[jan./26]:[dez/26]])</f>
        <v>279.45999999999998</v>
      </c>
      <c r="O128" s="19">
        <f>Tabela8[[#This Row],[YTD]]/Tabela8[[#Totals],[YTD]]</f>
        <v>1.5437664130829899E-4</v>
      </c>
      <c r="P128" s="184">
        <v>0</v>
      </c>
      <c r="Q128" s="184">
        <v>234</v>
      </c>
      <c r="R128" s="184">
        <v>0</v>
      </c>
      <c r="S128" s="184">
        <v>45.46</v>
      </c>
      <c r="T128" s="184"/>
      <c r="U128" s="184"/>
      <c r="V128" s="184"/>
      <c r="W128" s="184"/>
      <c r="X128" s="184"/>
      <c r="Y128" s="184"/>
      <c r="Z128" s="184"/>
      <c r="AA128" s="184"/>
    </row>
    <row r="129" spans="6:27" ht="15.75" customHeight="1">
      <c r="F129" s="125" t="s">
        <v>447</v>
      </c>
      <c r="G129" s="125" t="s">
        <v>666</v>
      </c>
      <c r="H129" s="125" t="s">
        <v>357</v>
      </c>
      <c r="I129" s="125" t="s">
        <v>488</v>
      </c>
      <c r="J129" s="125" t="s">
        <v>478</v>
      </c>
      <c r="K129" s="125" t="s">
        <v>487</v>
      </c>
      <c r="M129" s="187">
        <f>AVERAGE(Tabela8[[#This Row],[jan./26]:[dez/26]])</f>
        <v>34.325000000000003</v>
      </c>
      <c r="N129" s="128">
        <f>SUM(Tabela8[[#This Row],[jan./26]:[dez/26]])</f>
        <v>137.30000000000001</v>
      </c>
      <c r="O129" s="19">
        <f>Tabela8[[#This Row],[YTD]]/Tabela8[[#Totals],[YTD]]</f>
        <v>7.5845963113252185E-5</v>
      </c>
      <c r="P129" s="184">
        <v>0</v>
      </c>
      <c r="Q129" s="184">
        <v>137.30000000000001</v>
      </c>
      <c r="R129" s="184">
        <v>0</v>
      </c>
      <c r="S129" s="184">
        <v>0</v>
      </c>
      <c r="T129" s="184"/>
      <c r="U129" s="184"/>
      <c r="V129" s="184"/>
      <c r="W129" s="184"/>
      <c r="X129" s="184"/>
      <c r="Y129" s="184"/>
      <c r="Z129" s="184"/>
      <c r="AA129" s="184"/>
    </row>
    <row r="130" spans="6:27" ht="15.75" customHeight="1">
      <c r="F130" s="125" t="s">
        <v>447</v>
      </c>
      <c r="G130" s="125" t="s">
        <v>668</v>
      </c>
      <c r="H130" s="125" t="s">
        <v>355</v>
      </c>
      <c r="I130" s="125" t="s">
        <v>488</v>
      </c>
      <c r="J130" s="125" t="s">
        <v>478</v>
      </c>
      <c r="K130" s="125" t="s">
        <v>486</v>
      </c>
      <c r="M130" s="187">
        <f>AVERAGE(Tabela8[[#This Row],[jan./26]:[dez/26]])</f>
        <v>15.7575</v>
      </c>
      <c r="N130" s="128">
        <f>SUM(Tabela8[[#This Row],[jan./26]:[dez/26]])</f>
        <v>63.03</v>
      </c>
      <c r="O130" s="19">
        <f>Tabela8[[#This Row],[YTD]]/Tabela8[[#Totals],[YTD]]</f>
        <v>3.4818434486731862E-5</v>
      </c>
      <c r="P130" s="184">
        <v>63.03</v>
      </c>
      <c r="Q130" s="184">
        <v>0</v>
      </c>
      <c r="R130" s="184">
        <v>0</v>
      </c>
      <c r="S130" s="184">
        <v>0</v>
      </c>
      <c r="T130" s="184"/>
      <c r="U130" s="184"/>
      <c r="V130" s="184"/>
      <c r="W130" s="184"/>
      <c r="X130" s="184"/>
      <c r="Y130" s="184"/>
      <c r="Z130" s="184"/>
      <c r="AA130" s="184"/>
    </row>
    <row r="131" spans="6:27" ht="15.75" customHeight="1">
      <c r="F131" s="125" t="s">
        <v>447</v>
      </c>
      <c r="G131" s="125" t="s">
        <v>666</v>
      </c>
      <c r="H131" s="125" t="s">
        <v>352</v>
      </c>
      <c r="I131" s="125" t="s">
        <v>488</v>
      </c>
      <c r="J131" s="125" t="s">
        <v>478</v>
      </c>
      <c r="K131" s="125" t="s">
        <v>487</v>
      </c>
      <c r="M131" s="187">
        <f>AVERAGE(Tabela8[[#This Row],[jan./26]:[dez/26]])</f>
        <v>6.72</v>
      </c>
      <c r="N131" s="128">
        <f>SUM(Tabela8[[#This Row],[jan./26]:[dez/26]])</f>
        <v>26.88</v>
      </c>
      <c r="O131" s="19">
        <f>Tabela8[[#This Row],[YTD]]/Tabela8[[#Totals],[YTD]]</f>
        <v>1.4848794526469181E-5</v>
      </c>
      <c r="P131" s="184">
        <v>26.88</v>
      </c>
      <c r="Q131" s="184">
        <v>0</v>
      </c>
      <c r="R131" s="184">
        <v>0</v>
      </c>
      <c r="S131" s="184">
        <v>0</v>
      </c>
      <c r="T131" s="184"/>
      <c r="U131" s="184"/>
      <c r="V131" s="184"/>
      <c r="W131" s="184"/>
      <c r="X131" s="184"/>
      <c r="Y131" s="184"/>
      <c r="Z131" s="184"/>
      <c r="AA131" s="184"/>
    </row>
    <row r="132" spans="6:27" ht="15.75" customHeight="1">
      <c r="F132" s="125" t="s">
        <v>447</v>
      </c>
      <c r="G132" s="125" t="s">
        <v>456</v>
      </c>
      <c r="H132" s="125" t="s">
        <v>457</v>
      </c>
      <c r="I132" s="125" t="s">
        <v>492</v>
      </c>
      <c r="J132" s="125" t="s">
        <v>478</v>
      </c>
      <c r="K132" s="125" t="s">
        <v>479</v>
      </c>
      <c r="M132" s="187">
        <f>AVERAGE(Tabela8[[#This Row],[jan./26]:[dez/26]])</f>
        <v>0.2</v>
      </c>
      <c r="N132" s="128">
        <f>SUM(Tabela8[[#This Row],[jan./26]:[dez/26]])</f>
        <v>0.8</v>
      </c>
      <c r="O132" s="19">
        <f>Tabela8[[#This Row],[YTD]]/Tabela8[[#Totals],[YTD]]</f>
        <v>4.4192840852586848E-7</v>
      </c>
      <c r="P132" s="184">
        <v>0</v>
      </c>
      <c r="Q132" s="184">
        <v>0</v>
      </c>
      <c r="R132" s="184">
        <v>0</v>
      </c>
      <c r="S132" s="184">
        <v>0.8</v>
      </c>
      <c r="T132" s="184"/>
      <c r="U132" s="184"/>
      <c r="V132" s="184"/>
      <c r="W132" s="184"/>
      <c r="X132" s="184"/>
      <c r="Y132" s="184"/>
      <c r="Z132" s="184"/>
      <c r="AA132" s="184"/>
    </row>
    <row r="133" spans="6:27" ht="15.75" customHeight="1">
      <c r="F133" s="194" t="s">
        <v>150</v>
      </c>
      <c r="G133" s="194"/>
      <c r="H133" s="194"/>
      <c r="I133" s="194"/>
      <c r="J133" s="194"/>
      <c r="K133" s="194"/>
      <c r="L133" s="194"/>
      <c r="M133" s="198">
        <f>SUBTOTAL(109,Tabela8[Média])</f>
        <v>339828.8382142859</v>
      </c>
      <c r="N133" s="195">
        <f>SUBTOTAL(109,Tabela8[YTD])</f>
        <v>1810247.96</v>
      </c>
      <c r="O133" s="196">
        <f>SUBTOTAL(109,Tabela8[100%])</f>
        <v>0.94017312412825527</v>
      </c>
      <c r="P133" s="197">
        <f>SUBTOTAL(109,Tabela8[jan./26])</f>
        <v>435967.00000000012</v>
      </c>
      <c r="Q133" s="197">
        <f>SUBTOTAL(109,Tabela8[fev./26])</f>
        <v>177386.35</v>
      </c>
      <c r="R133" s="197">
        <f>SUBTOTAL(109,Tabela8[mar./26])</f>
        <v>204640.89999999991</v>
      </c>
      <c r="S133" s="197">
        <f>SUBTOTAL(109,Tabela8[abr./26])</f>
        <v>248353.36000000007</v>
      </c>
      <c r="T133" s="197">
        <f>SUBTOTAL(109,Tabela8[mai/26])</f>
        <v>202282.21999999991</v>
      </c>
      <c r="U133" s="197">
        <f>SUBTOTAL(109,Tabela8[jun/26])</f>
        <v>234725.28999999998</v>
      </c>
      <c r="V133" s="197">
        <f>SUBTOTAL(109,Tabela8[jul/26])</f>
        <v>306892.83999999997</v>
      </c>
      <c r="W133" s="197">
        <f>SUBTOTAL(109,Tabela8[ago/26])</f>
        <v>0</v>
      </c>
      <c r="X133" s="197">
        <f>SUBTOTAL(109,Tabela8[set/26])</f>
        <v>0</v>
      </c>
      <c r="Y133" s="197">
        <f>SUBTOTAL(109,Tabela8[out/26])</f>
        <v>0</v>
      </c>
      <c r="Z133" s="197">
        <f>SUBTOTAL(109,Tabela8[nov/26])</f>
        <v>0</v>
      </c>
      <c r="AA133" s="197">
        <f>SUBTOTAL(109,Tabela8[dez/26])</f>
        <v>0</v>
      </c>
    </row>
    <row r="134" spans="6:27" ht="15.75" customHeight="1">
      <c r="N134" s="128"/>
      <c r="O134" s="1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6:27" ht="15.75" customHeight="1">
      <c r="N135" s="128"/>
      <c r="O135" s="1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6:27" ht="15.75" customHeight="1">
      <c r="N136" s="128"/>
      <c r="O136" s="1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6:27" ht="15.75" customHeight="1">
      <c r="N137" s="128"/>
      <c r="O137" s="1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6:27" ht="15.75" customHeight="1">
      <c r="N138" s="128"/>
      <c r="O138" s="1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6:27" ht="15.75" customHeight="1">
      <c r="N139" s="128"/>
      <c r="O139" s="1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6:27" ht="15.75" customHeight="1">
      <c r="N140" s="128"/>
      <c r="O140" s="1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6:27" ht="15.75" customHeight="1">
      <c r="N141" s="128"/>
      <c r="O141" s="1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6:27" ht="15.75" customHeight="1">
      <c r="N142" s="128"/>
      <c r="O142" s="1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6:27" ht="15.75" customHeight="1">
      <c r="N143" s="128"/>
      <c r="O143" s="1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6:27" ht="15.75" customHeight="1">
      <c r="N144" s="128"/>
      <c r="O144" s="1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4:27" ht="15.75" customHeight="1">
      <c r="N145" s="128"/>
      <c r="O145" s="1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4:27" ht="15.75" customHeight="1">
      <c r="N146" s="128"/>
      <c r="O146" s="1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4:27" ht="15.75" customHeight="1">
      <c r="N147" s="128"/>
      <c r="O147" s="1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4:27" ht="15.75" customHeight="1">
      <c r="N148" s="128"/>
      <c r="O148" s="1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4:27" ht="15.75" customHeight="1">
      <c r="N149" s="128"/>
      <c r="O149" s="1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4:27" ht="15.75" customHeight="1">
      <c r="N150" s="128"/>
      <c r="O150" s="1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4:27" ht="15.75" customHeight="1">
      <c r="N151" s="128"/>
      <c r="O151" s="1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4:27" ht="15.75" customHeight="1">
      <c r="N152" s="128"/>
      <c r="O152" s="1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4:27" ht="15.75" customHeight="1">
      <c r="N153" s="128"/>
      <c r="O153" s="1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4:27" ht="15.75" customHeight="1">
      <c r="N154" s="128"/>
      <c r="O154" s="1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</sheetData>
  <mergeCells count="1">
    <mergeCell ref="AC10:AC11"/>
  </mergeCells>
  <phoneticPr fontId="43" type="noConversion"/>
  <conditionalFormatting sqref="V127:V132">
    <cfRule type="duplicateValues" dxfId="21" priority="1"/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  <tableParts count="6">
    <tablePart r:id="rId2"/>
    <tablePart r:id="rId3"/>
    <tablePart r:id="rId4"/>
    <tablePart r:id="rId5"/>
    <tablePart r:id="rId6"/>
    <tablePart r:id="rId7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8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5086-EC5C-8B4B-A0AA-8B766176587E}">
  <dimension ref="C2:S26"/>
  <sheetViews>
    <sheetView zoomScale="112" zoomScaleNormal="140" workbookViewId="0">
      <selection activeCell="T23" sqref="T23"/>
    </sheetView>
  </sheetViews>
  <sheetFormatPr baseColWidth="10" defaultColWidth="10.83203125" defaultRowHeight="16"/>
  <cols>
    <col min="1" max="2" width="10.83203125" style="206"/>
    <col min="3" max="3" width="14.6640625" style="206" bestFit="1" customWidth="1"/>
    <col min="4" max="4" width="13.1640625" style="209" bestFit="1" customWidth="1"/>
    <col min="5" max="5" width="12.6640625" style="209" bestFit="1" customWidth="1"/>
    <col min="6" max="8" width="13.1640625" style="209" bestFit="1" customWidth="1"/>
    <col min="9" max="9" width="14.1640625" style="209" bestFit="1" customWidth="1"/>
    <col min="10" max="10" width="12.83203125" style="209" bestFit="1" customWidth="1"/>
    <col min="11" max="12" width="14.6640625" style="209" bestFit="1" customWidth="1"/>
    <col min="13" max="13" width="13.1640625" style="209" bestFit="1" customWidth="1"/>
    <col min="14" max="14" width="13.83203125" style="209" bestFit="1" customWidth="1"/>
    <col min="15" max="15" width="13.1640625" style="209" bestFit="1" customWidth="1"/>
    <col min="16" max="17" width="13.1640625" style="206" bestFit="1" customWidth="1"/>
    <col min="18" max="18" width="14.6640625" style="206" customWidth="1"/>
    <col min="19" max="19" width="13.1640625" style="206" bestFit="1" customWidth="1"/>
    <col min="20" max="16384" width="10.83203125" style="206"/>
  </cols>
  <sheetData>
    <row r="2" spans="3:19">
      <c r="C2" s="300"/>
      <c r="D2" s="299"/>
    </row>
    <row r="3" spans="3:19">
      <c r="Q3" s="301"/>
      <c r="R3" s="301"/>
      <c r="S3" s="301"/>
    </row>
    <row r="4" spans="3:19"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</row>
    <row r="5" spans="3:19">
      <c r="C5" s="300"/>
      <c r="D5" s="305" t="s">
        <v>589</v>
      </c>
      <c r="E5" s="306">
        <v>46174</v>
      </c>
      <c r="F5" s="306">
        <v>46204</v>
      </c>
      <c r="G5" s="306">
        <v>46235</v>
      </c>
      <c r="H5" s="306">
        <v>46266</v>
      </c>
      <c r="I5" s="306">
        <v>46296</v>
      </c>
      <c r="J5" s="306">
        <v>46327</v>
      </c>
      <c r="K5" s="306">
        <v>46357</v>
      </c>
      <c r="L5" s="307" t="s">
        <v>526</v>
      </c>
      <c r="M5" s="307" t="s">
        <v>525</v>
      </c>
      <c r="N5" s="307" t="s">
        <v>524</v>
      </c>
      <c r="O5" s="308" t="s">
        <v>523</v>
      </c>
    </row>
    <row r="6" spans="3:19">
      <c r="C6" s="300"/>
      <c r="D6" s="309" t="s">
        <v>394</v>
      </c>
      <c r="E6" s="280">
        <v>32368</v>
      </c>
      <c r="F6" s="280">
        <v>32368</v>
      </c>
      <c r="G6" s="280">
        <v>32368</v>
      </c>
      <c r="H6" s="280">
        <v>32368</v>
      </c>
      <c r="I6" s="280">
        <v>32368</v>
      </c>
      <c r="J6" s="280">
        <v>32368</v>
      </c>
      <c r="K6" s="280">
        <v>32368</v>
      </c>
      <c r="L6" s="280">
        <v>32368</v>
      </c>
      <c r="M6" s="280">
        <v>32575.200000000001</v>
      </c>
      <c r="N6" s="280">
        <v>0</v>
      </c>
      <c r="O6" s="310"/>
    </row>
    <row r="7" spans="3:19">
      <c r="C7" s="300"/>
      <c r="D7" s="311" t="s">
        <v>557</v>
      </c>
      <c r="E7" s="312">
        <v>6217.17</v>
      </c>
      <c r="F7" s="312">
        <v>6217.17</v>
      </c>
      <c r="G7" s="312">
        <v>9076.06</v>
      </c>
      <c r="H7" s="312">
        <v>6217.17</v>
      </c>
      <c r="I7" s="312">
        <v>6217.17</v>
      </c>
      <c r="J7" s="312">
        <v>6217.17</v>
      </c>
      <c r="K7" s="312">
        <v>42944.41</v>
      </c>
      <c r="L7" s="312">
        <v>6217.17</v>
      </c>
      <c r="M7" s="312">
        <v>6217.17</v>
      </c>
      <c r="N7" s="312">
        <v>6217.17</v>
      </c>
      <c r="O7" s="313"/>
    </row>
    <row r="8" spans="3:19">
      <c r="C8" s="300"/>
      <c r="D8"/>
      <c r="E8"/>
      <c r="F8"/>
      <c r="G8"/>
      <c r="H8"/>
      <c r="I8"/>
      <c r="J8"/>
      <c r="K8"/>
      <c r="L8"/>
      <c r="M8"/>
      <c r="N8"/>
      <c r="O8"/>
    </row>
    <row r="9" spans="3:19">
      <c r="C9" s="300"/>
      <c r="D9" s="305" t="s">
        <v>590</v>
      </c>
      <c r="E9" s="306">
        <v>46174</v>
      </c>
      <c r="F9" s="306">
        <v>46204</v>
      </c>
      <c r="G9" s="306">
        <v>46235</v>
      </c>
      <c r="H9" s="306">
        <v>46266</v>
      </c>
      <c r="I9" s="306">
        <v>46296</v>
      </c>
      <c r="J9" s="306">
        <v>46327</v>
      </c>
      <c r="K9" s="306">
        <v>46357</v>
      </c>
      <c r="L9" s="307" t="s">
        <v>526</v>
      </c>
      <c r="M9" s="307" t="s">
        <v>525</v>
      </c>
      <c r="N9" s="307" t="s">
        <v>524</v>
      </c>
      <c r="O9" s="308" t="s">
        <v>523</v>
      </c>
    </row>
    <row r="10" spans="3:19">
      <c r="D10" s="309" t="s">
        <v>591</v>
      </c>
      <c r="E10" s="314">
        <f t="shared" ref="E10:O10" si="0">SUM(E11:E13)</f>
        <v>-24691.65</v>
      </c>
      <c r="F10" s="314">
        <f t="shared" si="0"/>
        <v>-24691.65</v>
      </c>
      <c r="G10" s="314">
        <f t="shared" si="0"/>
        <v>-24691.65</v>
      </c>
      <c r="H10" s="314">
        <f t="shared" si="0"/>
        <v>-24691.65</v>
      </c>
      <c r="I10" s="314">
        <f t="shared" si="0"/>
        <v>-24691.65</v>
      </c>
      <c r="J10" s="314">
        <f t="shared" si="0"/>
        <v>-24691.65</v>
      </c>
      <c r="K10" s="314">
        <f t="shared" si="0"/>
        <v>-24691.65</v>
      </c>
      <c r="L10" s="314">
        <f t="shared" si="0"/>
        <v>-24691.65</v>
      </c>
      <c r="M10" s="314">
        <f t="shared" si="0"/>
        <v>-24691.65</v>
      </c>
      <c r="N10" s="314">
        <f t="shared" si="0"/>
        <v>-24691.65</v>
      </c>
      <c r="O10" s="315">
        <f t="shared" si="0"/>
        <v>0</v>
      </c>
    </row>
    <row r="11" spans="3:19">
      <c r="D11" s="316" t="s">
        <v>592</v>
      </c>
      <c r="E11" s="280">
        <v>-19100</v>
      </c>
      <c r="F11" s="280">
        <f t="shared" ref="F11:N11" si="1">E11</f>
        <v>-19100</v>
      </c>
      <c r="G11" s="280">
        <f t="shared" si="1"/>
        <v>-19100</v>
      </c>
      <c r="H11" s="280">
        <f t="shared" si="1"/>
        <v>-19100</v>
      </c>
      <c r="I11" s="280">
        <f t="shared" si="1"/>
        <v>-19100</v>
      </c>
      <c r="J11" s="280">
        <f t="shared" si="1"/>
        <v>-19100</v>
      </c>
      <c r="K11" s="280">
        <f t="shared" si="1"/>
        <v>-19100</v>
      </c>
      <c r="L11" s="280">
        <f t="shared" si="1"/>
        <v>-19100</v>
      </c>
      <c r="M11" s="280">
        <f t="shared" si="1"/>
        <v>-19100</v>
      </c>
      <c r="N11" s="280">
        <f t="shared" si="1"/>
        <v>-19100</v>
      </c>
      <c r="O11" s="310"/>
      <c r="P11" s="209"/>
      <c r="R11" s="304"/>
    </row>
    <row r="12" spans="3:19">
      <c r="D12" s="316" t="s">
        <v>593</v>
      </c>
      <c r="E12" s="280">
        <v>-5015.43</v>
      </c>
      <c r="F12" s="280">
        <v>-5015.43</v>
      </c>
      <c r="G12" s="280">
        <v>-5015.43</v>
      </c>
      <c r="H12" s="280">
        <v>-5015.43</v>
      </c>
      <c r="I12" s="280">
        <v>-5015.43</v>
      </c>
      <c r="J12" s="280">
        <v>-5015.43</v>
      </c>
      <c r="K12" s="280">
        <v>-5015.43</v>
      </c>
      <c r="L12" s="280">
        <v>-5015.43</v>
      </c>
      <c r="M12" s="280">
        <v>-5015.43</v>
      </c>
      <c r="N12" s="280">
        <v>-5015.43</v>
      </c>
      <c r="O12" s="310"/>
      <c r="P12" s="302"/>
      <c r="R12" s="304"/>
    </row>
    <row r="13" spans="3:19">
      <c r="D13" s="316" t="s">
        <v>553</v>
      </c>
      <c r="E13" s="280">
        <v>-576.22</v>
      </c>
      <c r="F13" s="280">
        <v>-576.22</v>
      </c>
      <c r="G13" s="280">
        <v>-576.22</v>
      </c>
      <c r="H13" s="280">
        <v>-576.22</v>
      </c>
      <c r="I13" s="280">
        <v>-576.22</v>
      </c>
      <c r="J13" s="280">
        <v>-576.22</v>
      </c>
      <c r="K13" s="280">
        <v>-576.22</v>
      </c>
      <c r="L13" s="280">
        <v>-576.22</v>
      </c>
      <c r="M13" s="280">
        <v>-576.22</v>
      </c>
      <c r="N13" s="280">
        <v>-576.22</v>
      </c>
      <c r="O13" s="310"/>
      <c r="P13" s="302"/>
      <c r="R13" s="304"/>
    </row>
    <row r="14" spans="3:19">
      <c r="D14" s="316"/>
      <c r="E14" s="280"/>
      <c r="F14" s="280"/>
      <c r="G14" s="280"/>
      <c r="H14" s="280"/>
      <c r="I14" s="280"/>
      <c r="J14" s="280"/>
      <c r="K14" s="280"/>
      <c r="L14"/>
      <c r="M14"/>
      <c r="N14"/>
      <c r="O14" s="317"/>
      <c r="P14" s="302"/>
      <c r="R14" s="304"/>
    </row>
    <row r="15" spans="3:19">
      <c r="D15" s="309" t="s">
        <v>594</v>
      </c>
      <c r="E15" s="314">
        <f t="shared" ref="E15:O15" si="2">SUM(E16:E17)</f>
        <v>-2678.2079400000002</v>
      </c>
      <c r="F15" s="314">
        <f t="shared" si="2"/>
        <v>-2101.98794</v>
      </c>
      <c r="G15" s="314">
        <f t="shared" si="2"/>
        <v>-2336.4169200000001</v>
      </c>
      <c r="H15" s="314">
        <f t="shared" si="2"/>
        <v>-2101.98794</v>
      </c>
      <c r="I15" s="314">
        <f t="shared" si="2"/>
        <v>-2101.98794</v>
      </c>
      <c r="J15" s="314">
        <f t="shared" si="2"/>
        <v>-2101.98794</v>
      </c>
      <c r="K15" s="314">
        <f t="shared" si="2"/>
        <v>-5113.6216199999999</v>
      </c>
      <c r="L15" s="314">
        <f t="shared" si="2"/>
        <v>-2101.98794</v>
      </c>
      <c r="M15" s="314">
        <f t="shared" si="2"/>
        <v>-2101.98794</v>
      </c>
      <c r="N15" s="314">
        <f t="shared" si="2"/>
        <v>-2101.98794</v>
      </c>
      <c r="O15" s="315">
        <f t="shared" si="2"/>
        <v>0</v>
      </c>
      <c r="P15" s="302"/>
      <c r="R15" s="304"/>
    </row>
    <row r="16" spans="3:19">
      <c r="D16" s="316" t="s">
        <v>595</v>
      </c>
      <c r="E16" s="280">
        <v>-2168.4</v>
      </c>
      <c r="F16" s="280">
        <f>-1344.51-247.67</f>
        <v>-1592.18</v>
      </c>
      <c r="G16" s="280">
        <f t="shared" ref="G16:N16" si="3">F16</f>
        <v>-1592.18</v>
      </c>
      <c r="H16" s="280">
        <f t="shared" si="3"/>
        <v>-1592.18</v>
      </c>
      <c r="I16" s="280">
        <f t="shared" si="3"/>
        <v>-1592.18</v>
      </c>
      <c r="J16" s="280">
        <f t="shared" si="3"/>
        <v>-1592.18</v>
      </c>
      <c r="K16" s="280">
        <f t="shared" si="3"/>
        <v>-1592.18</v>
      </c>
      <c r="L16" s="280">
        <f t="shared" si="3"/>
        <v>-1592.18</v>
      </c>
      <c r="M16" s="280">
        <f t="shared" si="3"/>
        <v>-1592.18</v>
      </c>
      <c r="N16" s="280">
        <f t="shared" si="3"/>
        <v>-1592.18</v>
      </c>
      <c r="O16" s="310"/>
      <c r="P16" s="302"/>
      <c r="R16" s="304"/>
    </row>
    <row r="17" spans="3:18">
      <c r="D17" s="318" t="s">
        <v>596</v>
      </c>
      <c r="E17" s="280">
        <f t="shared" ref="E17:N17" si="4">E7*0.82*-0.1</f>
        <v>-509.80793999999997</v>
      </c>
      <c r="F17" s="280">
        <f t="shared" si="4"/>
        <v>-509.80793999999997</v>
      </c>
      <c r="G17" s="280">
        <f t="shared" si="4"/>
        <v>-744.23691999999994</v>
      </c>
      <c r="H17" s="280">
        <f t="shared" si="4"/>
        <v>-509.80793999999997</v>
      </c>
      <c r="I17" s="280">
        <f t="shared" si="4"/>
        <v>-509.80793999999997</v>
      </c>
      <c r="J17" s="280">
        <f t="shared" si="4"/>
        <v>-509.80793999999997</v>
      </c>
      <c r="K17" s="280">
        <f t="shared" si="4"/>
        <v>-3521.4416200000001</v>
      </c>
      <c r="L17" s="280">
        <f t="shared" si="4"/>
        <v>-509.80793999999997</v>
      </c>
      <c r="M17" s="280">
        <f t="shared" si="4"/>
        <v>-509.80793999999997</v>
      </c>
      <c r="N17" s="280">
        <f t="shared" si="4"/>
        <v>-509.80793999999997</v>
      </c>
      <c r="O17" s="310"/>
      <c r="P17" s="302"/>
      <c r="R17" s="304"/>
    </row>
    <row r="18" spans="3:18">
      <c r="D18" s="319" t="s">
        <v>597</v>
      </c>
      <c r="E18" s="320">
        <f t="shared" ref="E18:O18" si="5">E10+E15</f>
        <v>-27369.857940000002</v>
      </c>
      <c r="F18" s="320">
        <f t="shared" si="5"/>
        <v>-26793.637940000001</v>
      </c>
      <c r="G18" s="320">
        <f t="shared" si="5"/>
        <v>-27028.066920000001</v>
      </c>
      <c r="H18" s="320">
        <f t="shared" si="5"/>
        <v>-26793.637940000001</v>
      </c>
      <c r="I18" s="320">
        <f t="shared" si="5"/>
        <v>-26793.637940000001</v>
      </c>
      <c r="J18" s="320">
        <f t="shared" si="5"/>
        <v>-26793.637940000001</v>
      </c>
      <c r="K18" s="320">
        <f t="shared" si="5"/>
        <v>-29805.27162</v>
      </c>
      <c r="L18" s="320">
        <f t="shared" si="5"/>
        <v>-26793.637940000001</v>
      </c>
      <c r="M18" s="320">
        <f t="shared" si="5"/>
        <v>-26793.637940000001</v>
      </c>
      <c r="N18" s="320">
        <f t="shared" si="5"/>
        <v>-26793.637940000001</v>
      </c>
      <c r="O18" s="321">
        <f t="shared" si="5"/>
        <v>0</v>
      </c>
      <c r="P18" s="302"/>
      <c r="R18" s="304"/>
    </row>
    <row r="19" spans="3:18">
      <c r="D19"/>
      <c r="E19"/>
      <c r="F19"/>
      <c r="G19"/>
      <c r="H19"/>
      <c r="I19"/>
      <c r="J19"/>
      <c r="K19"/>
      <c r="L19"/>
      <c r="M19"/>
      <c r="N19"/>
      <c r="O19"/>
      <c r="P19" s="302"/>
    </row>
    <row r="20" spans="3:18">
      <c r="D20" s="319" t="s">
        <v>598</v>
      </c>
      <c r="E20" s="320">
        <f t="shared" ref="E20:O20" si="6">E6+E7+E18</f>
        <v>11215.312059999997</v>
      </c>
      <c r="F20" s="320">
        <f t="shared" si="6"/>
        <v>11791.532059999998</v>
      </c>
      <c r="G20" s="320">
        <f t="shared" si="6"/>
        <v>14415.993079999997</v>
      </c>
      <c r="H20" s="320">
        <f t="shared" si="6"/>
        <v>11791.532059999998</v>
      </c>
      <c r="I20" s="320">
        <f t="shared" si="6"/>
        <v>11791.532059999998</v>
      </c>
      <c r="J20" s="320">
        <f t="shared" si="6"/>
        <v>11791.532059999998</v>
      </c>
      <c r="K20" s="320">
        <f t="shared" si="6"/>
        <v>45507.138380000004</v>
      </c>
      <c r="L20" s="320">
        <f t="shared" si="6"/>
        <v>11791.532059999998</v>
      </c>
      <c r="M20" s="320">
        <f t="shared" si="6"/>
        <v>11998.732060000002</v>
      </c>
      <c r="N20" s="320">
        <f t="shared" si="6"/>
        <v>-20576.467940000002</v>
      </c>
      <c r="O20" s="321">
        <f t="shared" si="6"/>
        <v>0</v>
      </c>
      <c r="P20" s="302"/>
    </row>
    <row r="21" spans="3:18">
      <c r="D21"/>
      <c r="E21"/>
      <c r="F21"/>
      <c r="G21"/>
      <c r="H21"/>
      <c r="I21"/>
      <c r="J21"/>
      <c r="K21"/>
      <c r="L21"/>
      <c r="M21"/>
      <c r="N21"/>
      <c r="O21"/>
      <c r="P21" s="302"/>
    </row>
    <row r="22" spans="3:18">
      <c r="C22" s="303"/>
      <c r="D22" s="305" t="s">
        <v>599</v>
      </c>
      <c r="E22" s="322">
        <f>SUM(E20:O20)</f>
        <v>121518.36794</v>
      </c>
      <c r="F22"/>
      <c r="G22"/>
      <c r="H22"/>
      <c r="I22"/>
      <c r="J22"/>
      <c r="K22"/>
      <c r="L22"/>
      <c r="M22"/>
      <c r="N22"/>
      <c r="O22"/>
      <c r="P22" s="4"/>
    </row>
    <row r="25" spans="3:18">
      <c r="C25" s="300"/>
      <c r="D25" s="302"/>
      <c r="E25" s="302"/>
    </row>
    <row r="26" spans="3:18">
      <c r="C26" s="300"/>
      <c r="D26" s="30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B56-29E3-214C-8B45-DD73136055F2}">
  <dimension ref="I7:K32"/>
  <sheetViews>
    <sheetView topLeftCell="B6" zoomScale="182" workbookViewId="0">
      <selection activeCell="I21" sqref="I21:K28"/>
    </sheetView>
  </sheetViews>
  <sheetFormatPr baseColWidth="10" defaultRowHeight="15"/>
  <cols>
    <col min="9" max="9" width="19.5" bestFit="1" customWidth="1"/>
    <col min="11" max="11" width="14.6640625" customWidth="1"/>
  </cols>
  <sheetData>
    <row r="7" spans="9:11" ht="16">
      <c r="I7" s="129" t="s">
        <v>218</v>
      </c>
      <c r="J7" s="135" t="s">
        <v>155</v>
      </c>
      <c r="K7" s="124" t="s">
        <v>244</v>
      </c>
    </row>
    <row r="8" spans="9:11" ht="16">
      <c r="I8" s="188" t="s">
        <v>252</v>
      </c>
      <c r="J8" s="19">
        <v>8.2740557497308059E-3</v>
      </c>
      <c r="K8" s="3">
        <v>9089.2700000000023</v>
      </c>
    </row>
    <row r="9" spans="9:11" ht="16">
      <c r="I9" s="188" t="s">
        <v>271</v>
      </c>
      <c r="J9" s="19">
        <v>2.5878391142404424E-3</v>
      </c>
      <c r="K9" s="3">
        <v>2842.81</v>
      </c>
    </row>
    <row r="10" spans="9:11" ht="16">
      <c r="I10" s="188" t="s">
        <v>259</v>
      </c>
      <c r="J10" s="19">
        <v>2.2612653079594185E-3</v>
      </c>
      <c r="K10" s="3">
        <v>2484.0600000000004</v>
      </c>
    </row>
    <row r="11" spans="9:11" ht="16">
      <c r="I11" s="188" t="s">
        <v>262</v>
      </c>
      <c r="J11" s="19">
        <v>4.5400813977588314E-4</v>
      </c>
      <c r="K11" s="3">
        <v>498.74</v>
      </c>
    </row>
    <row r="12" spans="9:11" ht="16">
      <c r="I12" s="188" t="s">
        <v>264</v>
      </c>
      <c r="J12" s="19">
        <v>3.6172088547408457E-4</v>
      </c>
      <c r="K12" s="3">
        <v>397.36</v>
      </c>
    </row>
    <row r="13" spans="9:11" ht="16">
      <c r="I13" s="188" t="s">
        <v>269</v>
      </c>
      <c r="J13" s="19">
        <v>1.3826702560564401E-4</v>
      </c>
      <c r="K13" s="3">
        <v>151.89000000000001</v>
      </c>
    </row>
    <row r="14" spans="9:11" ht="16">
      <c r="I14" s="189" t="s">
        <v>267</v>
      </c>
      <c r="J14" s="19">
        <v>1.3520838312730465E-4</v>
      </c>
      <c r="K14" s="3">
        <v>148.53</v>
      </c>
    </row>
    <row r="15" spans="9:11" ht="16">
      <c r="I15" s="188" t="s">
        <v>444</v>
      </c>
      <c r="J15" s="19">
        <v>1.3263220508751288E-5</v>
      </c>
      <c r="K15" s="3">
        <v>14.57</v>
      </c>
    </row>
    <row r="16" spans="9:11" ht="16">
      <c r="I16" s="189" t="s">
        <v>273</v>
      </c>
      <c r="J16" s="19">
        <v>1.0040722183358046E-5</v>
      </c>
      <c r="K16" s="3">
        <v>11.030000000000001</v>
      </c>
    </row>
    <row r="17" spans="9:11" ht="16">
      <c r="I17" s="188" t="s">
        <v>150</v>
      </c>
      <c r="J17" s="4"/>
      <c r="K17" s="3">
        <f>SUBTOTAL(109,Tabela13[R$])</f>
        <v>15638.260000000004</v>
      </c>
    </row>
    <row r="21" spans="9:11">
      <c r="I21" t="s">
        <v>494</v>
      </c>
      <c r="J21" s="168">
        <v>0.16500000000000001</v>
      </c>
      <c r="K21" s="192">
        <f>Tabela13[[#Totals],[R$]]*(1-J21)</f>
        <v>13057.947100000003</v>
      </c>
    </row>
    <row r="22" spans="9:11">
      <c r="I22" t="s">
        <v>711</v>
      </c>
      <c r="J22" s="121">
        <v>0.3</v>
      </c>
      <c r="K22" s="192">
        <f>K21*J22</f>
        <v>3917.3841300000008</v>
      </c>
    </row>
    <row r="23" spans="9:11">
      <c r="J23" s="121"/>
      <c r="K23" s="192"/>
    </row>
    <row r="24" spans="9:11">
      <c r="I24" t="s">
        <v>495</v>
      </c>
      <c r="K24" s="192">
        <f>K21-K22-K23</f>
        <v>9140.5629700000027</v>
      </c>
    </row>
    <row r="25" spans="9:11">
      <c r="K25" s="192"/>
    </row>
    <row r="26" spans="9:11">
      <c r="I26" t="s">
        <v>496</v>
      </c>
      <c r="K26" s="192">
        <f>SUM('Salários YTD'!E14:H14)</f>
        <v>17534.98</v>
      </c>
    </row>
    <row r="27" spans="9:11">
      <c r="K27" s="192"/>
    </row>
    <row r="28" spans="9:11">
      <c r="I28" t="s">
        <v>119</v>
      </c>
      <c r="K28" s="192">
        <f>K24-K26</f>
        <v>-8394.4170299999969</v>
      </c>
    </row>
    <row r="29" spans="9:11">
      <c r="K29" s="192"/>
    </row>
    <row r="30" spans="9:11">
      <c r="K30" s="192"/>
    </row>
    <row r="31" spans="9:11">
      <c r="K31" s="192"/>
    </row>
    <row r="32" spans="9:11">
      <c r="K32" s="19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4E84-FCBF-4447-9601-CDAC43661CE8}">
  <dimension ref="E4:H39"/>
  <sheetViews>
    <sheetView topLeftCell="A4" zoomScale="120" zoomScaleNormal="120" workbookViewId="0">
      <selection activeCell="L29" sqref="L29"/>
    </sheetView>
  </sheetViews>
  <sheetFormatPr baseColWidth="10" defaultRowHeight="15"/>
  <cols>
    <col min="5" max="5" width="14.5" customWidth="1"/>
    <col min="6" max="6" width="16.5" bestFit="1" customWidth="1"/>
  </cols>
  <sheetData>
    <row r="4" spans="5:8">
      <c r="E4" s="400" t="s">
        <v>582</v>
      </c>
      <c r="F4" s="400"/>
      <c r="G4" s="400"/>
      <c r="H4" s="400"/>
    </row>
    <row r="6" spans="5:8">
      <c r="E6" s="266" t="s">
        <v>566</v>
      </c>
      <c r="F6" s="267"/>
      <c r="G6" s="268">
        <f>SUM(G7:G8)</f>
        <v>3112.26</v>
      </c>
      <c r="H6" s="271">
        <f>G6/$G$34</f>
        <v>0.37419294334913183</v>
      </c>
    </row>
    <row r="7" spans="5:8">
      <c r="E7" s="4"/>
      <c r="F7" t="s">
        <v>572</v>
      </c>
      <c r="G7" s="192">
        <v>3112.26</v>
      </c>
      <c r="H7" s="192"/>
    </row>
    <row r="8" spans="5:8">
      <c r="E8" s="265"/>
      <c r="F8" s="263"/>
      <c r="G8" s="264"/>
      <c r="H8" s="263"/>
    </row>
    <row r="9" spans="5:8">
      <c r="E9" s="4"/>
    </row>
    <row r="10" spans="5:8">
      <c r="E10" s="266" t="s">
        <v>567</v>
      </c>
      <c r="F10" s="267"/>
      <c r="G10" s="268">
        <f>SUM(G11:G16)</f>
        <v>2735.04</v>
      </c>
      <c r="H10" s="271">
        <f>G10/$G$34</f>
        <v>0.32883906478816338</v>
      </c>
    </row>
    <row r="11" spans="5:8">
      <c r="E11" s="4"/>
      <c r="F11" t="s">
        <v>573</v>
      </c>
      <c r="G11" s="192">
        <v>84.45</v>
      </c>
    </row>
    <row r="12" spans="5:8">
      <c r="E12" s="4"/>
      <c r="F12" t="s">
        <v>583</v>
      </c>
      <c r="G12" s="192">
        <v>1056.1600000000001</v>
      </c>
    </row>
    <row r="13" spans="5:8">
      <c r="E13" s="4"/>
      <c r="F13" t="s">
        <v>574</v>
      </c>
      <c r="G13" s="192">
        <v>55</v>
      </c>
    </row>
    <row r="14" spans="5:8">
      <c r="E14" s="4"/>
      <c r="F14" t="s">
        <v>575</v>
      </c>
      <c r="G14" s="192">
        <v>72.56</v>
      </c>
    </row>
    <row r="15" spans="5:8">
      <c r="E15" s="4"/>
      <c r="F15" t="s">
        <v>576</v>
      </c>
      <c r="G15" s="192">
        <v>108.57</v>
      </c>
    </row>
    <row r="16" spans="5:8">
      <c r="E16" s="265"/>
      <c r="F16" s="263" t="s">
        <v>577</v>
      </c>
      <c r="G16" s="264">
        <v>1358.3</v>
      </c>
      <c r="H16" s="263"/>
    </row>
    <row r="17" spans="5:8">
      <c r="E17" s="4"/>
    </row>
    <row r="18" spans="5:8">
      <c r="E18" s="266" t="s">
        <v>568</v>
      </c>
      <c r="F18" s="267"/>
      <c r="G18" s="268">
        <f>SUM(G19:G20)</f>
        <v>923.5</v>
      </c>
      <c r="H18" s="271">
        <f>G18/$G$34</f>
        <v>0.11103416269300226</v>
      </c>
    </row>
    <row r="19" spans="5:8">
      <c r="E19" s="4"/>
      <c r="F19" t="s">
        <v>578</v>
      </c>
      <c r="G19" s="192">
        <v>93.5</v>
      </c>
    </row>
    <row r="20" spans="5:8">
      <c r="E20" s="265"/>
      <c r="F20" s="263" t="s">
        <v>579</v>
      </c>
      <c r="G20" s="264">
        <v>830</v>
      </c>
      <c r="H20" s="263"/>
    </row>
    <row r="21" spans="5:8">
      <c r="E21" s="4"/>
    </row>
    <row r="22" spans="5:8">
      <c r="E22" s="266" t="s">
        <v>569</v>
      </c>
      <c r="F22" s="267"/>
      <c r="G22" s="268">
        <f>SUM(G23)</f>
        <v>801.6</v>
      </c>
      <c r="H22" s="271">
        <f>G22/$G$34</f>
        <v>9.6377893681332552E-2</v>
      </c>
    </row>
    <row r="23" spans="5:8">
      <c r="E23" s="265"/>
      <c r="F23" s="263" t="s">
        <v>580</v>
      </c>
      <c r="G23" s="264">
        <v>801.6</v>
      </c>
      <c r="H23" s="264">
        <v>-800</v>
      </c>
    </row>
    <row r="24" spans="5:8">
      <c r="E24" s="4"/>
    </row>
    <row r="25" spans="5:8">
      <c r="E25" s="266" t="s">
        <v>570</v>
      </c>
      <c r="F25" s="267"/>
      <c r="G25" s="268">
        <f>SUM(G26)</f>
        <v>549.86</v>
      </c>
      <c r="H25" s="271">
        <f>G25/$G$34</f>
        <v>6.611071434583024E-2</v>
      </c>
    </row>
    <row r="26" spans="5:8">
      <c r="E26" s="265"/>
      <c r="F26" s="263" t="s">
        <v>725</v>
      </c>
      <c r="G26" s="264">
        <v>549.86</v>
      </c>
      <c r="H26" s="263"/>
    </row>
    <row r="27" spans="5:8">
      <c r="E27" s="4"/>
    </row>
    <row r="28" spans="5:8">
      <c r="E28" s="375" t="s">
        <v>571</v>
      </c>
      <c r="F28" s="376"/>
      <c r="G28" s="377">
        <f>SUM(G29:G32)</f>
        <v>195</v>
      </c>
      <c r="H28" s="378">
        <f>G28/$G$34</f>
        <v>2.3445221142539729E-2</v>
      </c>
    </row>
    <row r="29" spans="5:8">
      <c r="E29" s="4"/>
      <c r="G29" s="192"/>
    </row>
    <row r="30" spans="5:8">
      <c r="E30" s="4"/>
      <c r="F30" t="s">
        <v>724</v>
      </c>
      <c r="G30" s="192">
        <v>100</v>
      </c>
    </row>
    <row r="31" spans="5:8">
      <c r="E31" s="4"/>
      <c r="F31" t="s">
        <v>581</v>
      </c>
      <c r="G31" s="192">
        <v>95</v>
      </c>
    </row>
    <row r="32" spans="5:8">
      <c r="E32" s="265"/>
      <c r="F32" s="263"/>
      <c r="G32" s="264"/>
      <c r="H32" s="263"/>
    </row>
    <row r="34" spans="5:8" ht="16" thickBot="1">
      <c r="E34" s="269" t="s">
        <v>150</v>
      </c>
      <c r="F34" s="269">
        <f>COUNTA(F32,F26,F23,F20,F19,F16,F15,F14,F13,F12,F11,F8,F7)</f>
        <v>11</v>
      </c>
      <c r="G34" s="270">
        <f>G6+G10+G18+G22+G25+G28</f>
        <v>8317.26</v>
      </c>
      <c r="H34" s="272">
        <f>G34/$G$34</f>
        <v>1</v>
      </c>
    </row>
    <row r="35" spans="5:8" ht="16" thickTop="1"/>
    <row r="37" spans="5:8">
      <c r="E37" s="401" t="s">
        <v>585</v>
      </c>
      <c r="F37" s="401"/>
      <c r="G37" s="275">
        <f>H7+H8+H11+H12+H13+H14+H15+H16+H19+H23+H32+H26</f>
        <v>-800</v>
      </c>
      <c r="H37" s="277">
        <f>G37/G34</f>
        <v>-9.6185522636060436E-2</v>
      </c>
    </row>
    <row r="38" spans="5:8" ht="16" thickBot="1">
      <c r="E38" s="402" t="s">
        <v>586</v>
      </c>
      <c r="F38" s="402"/>
      <c r="G38" s="276">
        <f>G34+G37</f>
        <v>7517.26</v>
      </c>
      <c r="H38" s="278">
        <f>G38/G34</f>
        <v>0.90381447736393961</v>
      </c>
    </row>
    <row r="39" spans="5:8" ht="16" thickTop="1"/>
  </sheetData>
  <mergeCells count="3">
    <mergeCell ref="E4:H4"/>
    <mergeCell ref="E37:F37"/>
    <mergeCell ref="E38:F38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DFF4-5B00-B447-9788-5C1EEA939286}">
  <dimension ref="A4:V58"/>
  <sheetViews>
    <sheetView topLeftCell="A11" workbookViewId="0">
      <selection activeCell="L32" sqref="L32"/>
    </sheetView>
  </sheetViews>
  <sheetFormatPr baseColWidth="10" defaultRowHeight="15" outlineLevelRow="1" outlineLevelCol="1"/>
  <cols>
    <col min="4" max="4" width="20.6640625" style="337" customWidth="1"/>
    <col min="5" max="9" width="11.5" style="336" bestFit="1" customWidth="1"/>
    <col min="10" max="10" width="11.5" style="336" customWidth="1" outlineLevel="1"/>
    <col min="11" max="16" width="11.5" customWidth="1" outlineLevel="1"/>
    <col min="17" max="17" width="12.5" style="4" bestFit="1" customWidth="1"/>
    <col min="22" max="22" width="11.5" style="192" bestFit="1" customWidth="1"/>
  </cols>
  <sheetData>
    <row r="4" spans="1:17">
      <c r="A4" s="335"/>
    </row>
    <row r="5" spans="1:17">
      <c r="A5" s="335"/>
      <c r="D5" s="340" t="s">
        <v>638</v>
      </c>
      <c r="E5" s="341">
        <v>46023</v>
      </c>
      <c r="F5" s="341">
        <v>46054</v>
      </c>
      <c r="G5" s="341">
        <v>46082</v>
      </c>
      <c r="H5" s="341">
        <v>46113</v>
      </c>
      <c r="I5" s="341">
        <v>46143</v>
      </c>
      <c r="J5" s="341">
        <v>46174</v>
      </c>
      <c r="K5" s="341">
        <v>46204</v>
      </c>
      <c r="L5" s="341">
        <v>46235</v>
      </c>
      <c r="M5" s="341">
        <v>46266</v>
      </c>
      <c r="N5" s="341">
        <v>46296</v>
      </c>
      <c r="O5" s="341">
        <v>46327</v>
      </c>
      <c r="P5" s="341">
        <v>46357</v>
      </c>
      <c r="Q5" s="342" t="s">
        <v>150</v>
      </c>
    </row>
    <row r="6" spans="1:17">
      <c r="A6" s="335"/>
      <c r="D6" s="343" t="s">
        <v>633</v>
      </c>
      <c r="E6" s="344">
        <f>SUM(E7:E13)</f>
        <v>6262.7</v>
      </c>
      <c r="F6" s="344">
        <f t="shared" ref="F6:O6" si="0">SUM(F7:F13)</f>
        <v>9748.74</v>
      </c>
      <c r="G6" s="344">
        <f t="shared" si="0"/>
        <v>6262.7</v>
      </c>
      <c r="H6" s="344">
        <f t="shared" si="0"/>
        <v>8037.1499999999987</v>
      </c>
      <c r="I6" s="344">
        <f t="shared" si="0"/>
        <v>6863.2199999999993</v>
      </c>
      <c r="J6" s="344">
        <f t="shared" si="0"/>
        <v>6863.2199999999993</v>
      </c>
      <c r="K6" s="344">
        <f t="shared" si="0"/>
        <v>10363.219999999999</v>
      </c>
      <c r="L6" s="344">
        <f t="shared" si="0"/>
        <v>6768.1399999999994</v>
      </c>
      <c r="M6" s="344">
        <f t="shared" si="0"/>
        <v>6863.2199999999993</v>
      </c>
      <c r="N6" s="344">
        <f t="shared" si="0"/>
        <v>6863.2199999999993</v>
      </c>
      <c r="O6" s="344">
        <f t="shared" si="0"/>
        <v>9488.2199999999993</v>
      </c>
      <c r="P6" s="344">
        <f>SUM(P7:P13)</f>
        <v>9488.2199999999993</v>
      </c>
      <c r="Q6" s="345">
        <f>SUM(E6:P6)</f>
        <v>93871.97</v>
      </c>
    </row>
    <row r="7" spans="1:17" outlineLevel="1">
      <c r="A7" s="335"/>
      <c r="D7" s="350" t="s">
        <v>639</v>
      </c>
      <c r="E7" s="338">
        <f>'[3]Salários YTD'!E7</f>
        <v>5140</v>
      </c>
      <c r="F7" s="338">
        <f>'[3]Salários YTD'!F7</f>
        <v>5140</v>
      </c>
      <c r="G7" s="338">
        <f>'[3]Salários YTD'!G7</f>
        <v>5140</v>
      </c>
      <c r="H7" s="338">
        <f>'[3]Salários YTD'!H7</f>
        <v>6180.329999999999</v>
      </c>
      <c r="I7" s="338">
        <f>'[3]Salários YTD'!I7</f>
        <v>5426.4</v>
      </c>
      <c r="J7" s="338">
        <f>'[3]Salários YTD'!J7</f>
        <v>5426.4</v>
      </c>
      <c r="K7" s="338">
        <f>'[3]Salários YTD'!K7</f>
        <v>5426.4</v>
      </c>
      <c r="L7" s="338">
        <f>'[3]Salários YTD'!L7</f>
        <v>5426.4</v>
      </c>
      <c r="M7" s="338">
        <f>'[3]Salários YTD'!M7</f>
        <v>5426.4</v>
      </c>
      <c r="N7" s="338">
        <f>'[3]Salários YTD'!N7</f>
        <v>5426.4</v>
      </c>
      <c r="O7" s="338">
        <f>'[3]Salários YTD'!O7</f>
        <v>5426.4</v>
      </c>
      <c r="P7" s="338">
        <f>'[3]Salários YTD'!P7</f>
        <v>5426.4</v>
      </c>
      <c r="Q7" s="349">
        <f t="shared" ref="Q7:Q57" si="1">SUM(E7:P7)</f>
        <v>65011.530000000006</v>
      </c>
    </row>
    <row r="8" spans="1:17" outlineLevel="1">
      <c r="A8" s="335"/>
      <c r="D8" s="348" t="s">
        <v>199</v>
      </c>
      <c r="E8" s="338">
        <f>'[3]Salários YTD'!E8</f>
        <v>1093</v>
      </c>
      <c r="F8" s="338">
        <f>'[3]Salários YTD'!F8</f>
        <v>1093</v>
      </c>
      <c r="G8" s="338">
        <f>'[3]Salários YTD'!G8</f>
        <v>1093</v>
      </c>
      <c r="H8" s="338">
        <f>'[3]Salários YTD'!H8</f>
        <v>1513</v>
      </c>
      <c r="I8" s="338">
        <f>'[3]Salários YTD'!I8</f>
        <v>1093</v>
      </c>
      <c r="J8" s="338">
        <f>'[3]Salários YTD'!J8</f>
        <v>1093</v>
      </c>
      <c r="K8" s="338">
        <f>'[3]Salários YTD'!K8</f>
        <v>1093</v>
      </c>
      <c r="L8" s="338">
        <f>'[3]Salários YTD'!L8</f>
        <v>997.92000000000007</v>
      </c>
      <c r="M8" s="338">
        <f>'[3]Salários YTD'!M8</f>
        <v>1093</v>
      </c>
      <c r="N8" s="338">
        <f>'[3]Salários YTD'!N8</f>
        <v>1093</v>
      </c>
      <c r="O8" s="338">
        <f>'[3]Salários YTD'!O8</f>
        <v>1093</v>
      </c>
      <c r="P8" s="338">
        <f>'[3]Salários YTD'!P8</f>
        <v>1093</v>
      </c>
      <c r="Q8" s="349">
        <f t="shared" si="1"/>
        <v>13440.92</v>
      </c>
    </row>
    <row r="9" spans="1:17" outlineLevel="1">
      <c r="D9" s="348" t="s">
        <v>200</v>
      </c>
      <c r="E9" s="338">
        <f>'[3]Salários YTD'!E9</f>
        <v>0</v>
      </c>
      <c r="F9" s="338">
        <f>'[3]Salários YTD'!F9</f>
        <v>0</v>
      </c>
      <c r="G9" s="338">
        <f>'[3]Salários YTD'!G9</f>
        <v>0</v>
      </c>
      <c r="H9" s="338">
        <f>'[3]Salários YTD'!H9</f>
        <v>0</v>
      </c>
      <c r="I9" s="338">
        <f>'[3]Salários YTD'!I9</f>
        <v>0</v>
      </c>
      <c r="J9" s="338">
        <f>'[3]Salários YTD'!J9</f>
        <v>0</v>
      </c>
      <c r="K9" s="338">
        <f>'[3]Salários YTD'!K9</f>
        <v>0</v>
      </c>
      <c r="L9" s="338">
        <f>'[3]Salários YTD'!L9</f>
        <v>0</v>
      </c>
      <c r="M9" s="338">
        <f>'[3]Salários YTD'!M9</f>
        <v>0</v>
      </c>
      <c r="N9" s="338">
        <f>'[3]Salários YTD'!N9</f>
        <v>0</v>
      </c>
      <c r="O9" s="338">
        <f>'[3]Salários YTD'!O9</f>
        <v>0</v>
      </c>
      <c r="P9" s="338">
        <f>'[3]Salários YTD'!P9</f>
        <v>0</v>
      </c>
      <c r="Q9" s="349">
        <f t="shared" si="1"/>
        <v>0</v>
      </c>
    </row>
    <row r="10" spans="1:17" outlineLevel="1">
      <c r="D10" s="348" t="s">
        <v>201</v>
      </c>
      <c r="E10" s="338">
        <f>'[3]Salários YTD'!E10</f>
        <v>29.7</v>
      </c>
      <c r="F10" s="338">
        <f>'[3]Salários YTD'!F10</f>
        <v>29.7</v>
      </c>
      <c r="G10" s="338">
        <f>'[3]Salários YTD'!G10</f>
        <v>29.7</v>
      </c>
      <c r="H10" s="338">
        <f>'[3]Salários YTD'!H10</f>
        <v>29.7</v>
      </c>
      <c r="I10" s="338">
        <f>'[3]Salários YTD'!I10</f>
        <v>29.7</v>
      </c>
      <c r="J10" s="338">
        <f>'[3]Salários YTD'!J10</f>
        <v>29.7</v>
      </c>
      <c r="K10" s="338">
        <f>'[3]Salários YTD'!K10</f>
        <v>29.7</v>
      </c>
      <c r="L10" s="338">
        <f>'[3]Salários YTD'!L10</f>
        <v>29.7</v>
      </c>
      <c r="M10" s="338">
        <f>'[3]Salários YTD'!M10</f>
        <v>29.7</v>
      </c>
      <c r="N10" s="338">
        <f>'[3]Salários YTD'!N10</f>
        <v>29.7</v>
      </c>
      <c r="O10" s="338">
        <f>'[3]Salários YTD'!O10</f>
        <v>29.7</v>
      </c>
      <c r="P10" s="338">
        <f>'[3]Salários YTD'!P10</f>
        <v>29.7</v>
      </c>
      <c r="Q10" s="349">
        <f t="shared" si="1"/>
        <v>356.39999999999992</v>
      </c>
    </row>
    <row r="11" spans="1:17" outlineLevel="1">
      <c r="D11" s="348" t="s">
        <v>25</v>
      </c>
      <c r="E11" s="338">
        <f>'[3]Salários YTD'!E11</f>
        <v>0</v>
      </c>
      <c r="F11" s="338">
        <f>'[3]Salários YTD'!F11</f>
        <v>0</v>
      </c>
      <c r="G11" s="338">
        <f>'[3]Salários YTD'!G11</f>
        <v>0</v>
      </c>
      <c r="H11" s="338">
        <f>'[3]Salários YTD'!H11</f>
        <v>314.12</v>
      </c>
      <c r="I11" s="338">
        <f>'[3]Salários YTD'!I11</f>
        <v>314.12</v>
      </c>
      <c r="J11" s="338">
        <f>'[3]Salários YTD'!J11</f>
        <v>314.12</v>
      </c>
      <c r="K11" s="338">
        <f>'[3]Salários YTD'!K11</f>
        <v>314.12</v>
      </c>
      <c r="L11" s="338">
        <f>'[3]Salários YTD'!L11</f>
        <v>314.12</v>
      </c>
      <c r="M11" s="338">
        <f>'[3]Salários YTD'!M11</f>
        <v>314.12</v>
      </c>
      <c r="N11" s="338">
        <f>'[3]Salários YTD'!N11</f>
        <v>314.12</v>
      </c>
      <c r="O11" s="338">
        <f>'[3]Salários YTD'!O11</f>
        <v>314.12</v>
      </c>
      <c r="P11" s="338">
        <f>'[3]Salários YTD'!P11</f>
        <v>314.12</v>
      </c>
      <c r="Q11" s="349">
        <f t="shared" si="1"/>
        <v>2827.0799999999995</v>
      </c>
    </row>
    <row r="12" spans="1:17" outlineLevel="1">
      <c r="D12" s="348" t="s">
        <v>345</v>
      </c>
      <c r="E12" s="338">
        <f>'[3]Salários YTD'!E12</f>
        <v>0</v>
      </c>
      <c r="F12" s="338">
        <f>'[3]Salários YTD'!F12</f>
        <v>3486.04</v>
      </c>
      <c r="G12" s="338">
        <f>'[3]Salários YTD'!G12</f>
        <v>0</v>
      </c>
      <c r="H12" s="338">
        <f>'[3]Salários YTD'!H12</f>
        <v>0</v>
      </c>
      <c r="I12" s="338">
        <f>'[3]Salários YTD'!I12</f>
        <v>0</v>
      </c>
      <c r="J12" s="338">
        <f>'[3]Salários YTD'!J12</f>
        <v>0</v>
      </c>
      <c r="K12" s="338">
        <f>'[3]Salários YTD'!K12</f>
        <v>3500</v>
      </c>
      <c r="L12" s="338">
        <f>'[3]Salários YTD'!L12</f>
        <v>0</v>
      </c>
      <c r="M12" s="338">
        <f>'[3]Salários YTD'!M12</f>
        <v>0</v>
      </c>
      <c r="N12" s="338">
        <f>'[3]Salários YTD'!N12</f>
        <v>0</v>
      </c>
      <c r="O12" s="338">
        <f>'[3]Salários YTD'!O12</f>
        <v>0</v>
      </c>
      <c r="P12" s="338">
        <f>'[3]Salários YTD'!P12</f>
        <v>0</v>
      </c>
      <c r="Q12" s="349">
        <f t="shared" si="1"/>
        <v>6986.04</v>
      </c>
    </row>
    <row r="13" spans="1:17" outlineLevel="1">
      <c r="D13" s="348" t="s">
        <v>640</v>
      </c>
      <c r="E13" s="338">
        <f>'[3]Salários YTD'!E13</f>
        <v>0</v>
      </c>
      <c r="F13" s="338">
        <f>'[3]Salários YTD'!F13</f>
        <v>0</v>
      </c>
      <c r="G13" s="338">
        <f>'[3]Salários YTD'!G13</f>
        <v>0</v>
      </c>
      <c r="H13" s="338">
        <f>'[3]Salários YTD'!H13</f>
        <v>0</v>
      </c>
      <c r="I13" s="338">
        <f>'[3]Salários YTD'!I13</f>
        <v>0</v>
      </c>
      <c r="J13" s="338">
        <f>'[3]Salários YTD'!J13</f>
        <v>0</v>
      </c>
      <c r="K13" s="338">
        <f>'[3]Salários YTD'!K13</f>
        <v>0</v>
      </c>
      <c r="L13" s="338">
        <f>'[3]Salários YTD'!L13</f>
        <v>0</v>
      </c>
      <c r="M13" s="338">
        <f>'[3]Salários YTD'!M13</f>
        <v>0</v>
      </c>
      <c r="N13" s="338">
        <f>'[3]Salários YTD'!N13</f>
        <v>0</v>
      </c>
      <c r="O13" s="338">
        <f>'[3]Salários YTD'!O13</f>
        <v>2625</v>
      </c>
      <c r="P13" s="338">
        <f>'[3]Salários YTD'!P13</f>
        <v>2625</v>
      </c>
      <c r="Q13" s="349">
        <f t="shared" si="1"/>
        <v>5250</v>
      </c>
    </row>
    <row r="14" spans="1:17">
      <c r="D14" s="343" t="s">
        <v>635</v>
      </c>
      <c r="E14" s="344">
        <f>SUM(E15:E22)</f>
        <v>4175.6900000000005</v>
      </c>
      <c r="F14" s="344">
        <f t="shared" ref="F14:P14" si="2">SUM(F15:F22)</f>
        <v>3990.01</v>
      </c>
      <c r="G14" s="344">
        <f t="shared" si="2"/>
        <v>4528.32</v>
      </c>
      <c r="H14" s="344">
        <f t="shared" si="2"/>
        <v>4840.96</v>
      </c>
      <c r="I14" s="344">
        <f t="shared" si="2"/>
        <v>4867.96</v>
      </c>
      <c r="J14" s="344">
        <f t="shared" si="2"/>
        <v>5256.74</v>
      </c>
      <c r="K14" s="344">
        <f t="shared" si="2"/>
        <v>3609.5</v>
      </c>
      <c r="L14" s="344">
        <f t="shared" si="2"/>
        <v>1219.5</v>
      </c>
      <c r="M14" s="344">
        <f t="shared" si="2"/>
        <v>3536.8</v>
      </c>
      <c r="N14" s="344">
        <f t="shared" si="2"/>
        <v>3536.8</v>
      </c>
      <c r="O14" s="344">
        <f t="shared" si="2"/>
        <v>5236.8</v>
      </c>
      <c r="P14" s="344">
        <f t="shared" si="2"/>
        <v>5236.8</v>
      </c>
      <c r="Q14" s="345">
        <f t="shared" si="1"/>
        <v>50035.880000000012</v>
      </c>
    </row>
    <row r="15" spans="1:17" outlineLevel="1">
      <c r="D15" s="350" t="s">
        <v>639</v>
      </c>
      <c r="E15" s="338">
        <f>'[3]Salários YTD'!E15</f>
        <v>2200</v>
      </c>
      <c r="F15" s="338">
        <f>'[3]Salários YTD'!F15</f>
        <v>2200</v>
      </c>
      <c r="G15" s="338">
        <f>'[3]Salários YTD'!G15</f>
        <v>2200</v>
      </c>
      <c r="H15" s="338">
        <f>'[3]Salários YTD'!H15</f>
        <v>2640</v>
      </c>
      <c r="I15" s="338">
        <f>'[3]Salários YTD'!I15</f>
        <v>2310</v>
      </c>
      <c r="J15" s="338">
        <f>'[3]Salários YTD'!J15</f>
        <v>2310</v>
      </c>
      <c r="K15" s="338">
        <f>'[3]Salários YTD'!K15</f>
        <v>2310</v>
      </c>
      <c r="L15" s="338">
        <f>'[3]Salários YTD'!L15</f>
        <v>0</v>
      </c>
      <c r="M15" s="338">
        <f>'[3]Salários YTD'!M15</f>
        <v>2310</v>
      </c>
      <c r="N15" s="338">
        <f>'[3]Salários YTD'!N15</f>
        <v>2310</v>
      </c>
      <c r="O15" s="338">
        <f>'[3]Salários YTD'!O15</f>
        <v>2310</v>
      </c>
      <c r="P15" s="338">
        <f>'[3]Salários YTD'!P15</f>
        <v>2310</v>
      </c>
      <c r="Q15" s="349">
        <f>SUM(E15:P15)</f>
        <v>25410</v>
      </c>
    </row>
    <row r="16" spans="1:17" outlineLevel="1">
      <c r="D16" s="350" t="s">
        <v>199</v>
      </c>
      <c r="E16" s="338">
        <f>'[3]Salários YTD'!E16</f>
        <v>766.5</v>
      </c>
      <c r="F16" s="338">
        <f>'[3]Salários YTD'!F16</f>
        <v>700.8</v>
      </c>
      <c r="G16" s="338">
        <f>'[3]Salários YTD'!G16</f>
        <v>810.3</v>
      </c>
      <c r="H16" s="338">
        <f>'[3]Salários YTD'!H16</f>
        <v>737.3</v>
      </c>
      <c r="I16" s="338">
        <f>'[3]Salários YTD'!I16</f>
        <v>1094.3</v>
      </c>
      <c r="J16" s="338">
        <f>'[3]Salários YTD'!J16</f>
        <v>847.3</v>
      </c>
      <c r="K16" s="338">
        <f>'[3]Salários YTD'!K16</f>
        <v>920</v>
      </c>
      <c r="L16" s="338">
        <f>'[3]Salários YTD'!L16</f>
        <v>840</v>
      </c>
      <c r="M16" s="338">
        <f>'[3]Salários YTD'!M16</f>
        <v>847.3</v>
      </c>
      <c r="N16" s="338">
        <f>'[3]Salários YTD'!N16</f>
        <v>847.3</v>
      </c>
      <c r="O16" s="338">
        <f>'[3]Salários YTD'!O16</f>
        <v>847.3</v>
      </c>
      <c r="P16" s="338">
        <f>'[3]Salários YTD'!P16</f>
        <v>847.3</v>
      </c>
      <c r="Q16" s="349">
        <f>SUM(E16:P16)</f>
        <v>10105.699999999999</v>
      </c>
    </row>
    <row r="17" spans="4:17" outlineLevel="1">
      <c r="D17" s="350" t="s">
        <v>200</v>
      </c>
      <c r="E17" s="338">
        <f>'[3]Salários YTD'!E17</f>
        <v>231</v>
      </c>
      <c r="F17" s="338">
        <f>'[3]Salários YTD'!F17</f>
        <v>242</v>
      </c>
      <c r="G17" s="338">
        <f>'[3]Salários YTD'!G17</f>
        <v>220</v>
      </c>
      <c r="H17" s="338">
        <f>'[3]Salários YTD'!H17</f>
        <v>220</v>
      </c>
      <c r="I17" s="338">
        <f>'[3]Salários YTD'!I17</f>
        <v>220</v>
      </c>
      <c r="J17" s="338">
        <f>'[3]Salários YTD'!J17</f>
        <v>231</v>
      </c>
      <c r="K17" s="338">
        <f>'[3]Salários YTD'!K17</f>
        <v>231</v>
      </c>
      <c r="L17" s="338">
        <f>'[3]Salários YTD'!L17</f>
        <v>231</v>
      </c>
      <c r="M17" s="338">
        <f>'[3]Salários YTD'!M17</f>
        <v>231</v>
      </c>
      <c r="N17" s="338">
        <f>'[3]Salários YTD'!N17</f>
        <v>231</v>
      </c>
      <c r="O17" s="338">
        <f>'[3]Salários YTD'!O17</f>
        <v>231</v>
      </c>
      <c r="P17" s="338">
        <f>'[3]Salários YTD'!P17</f>
        <v>231</v>
      </c>
      <c r="Q17" s="349">
        <f>SUM(E17:P17)</f>
        <v>2750</v>
      </c>
    </row>
    <row r="18" spans="4:17" outlineLevel="1">
      <c r="D18" s="350" t="s">
        <v>201</v>
      </c>
      <c r="E18" s="338">
        <f>'[3]Salários YTD'!E18</f>
        <v>148.5</v>
      </c>
      <c r="F18" s="338">
        <f>'[3]Salários YTD'!F18</f>
        <v>148.5</v>
      </c>
      <c r="G18" s="338">
        <f>'[3]Salários YTD'!G18</f>
        <v>148.5</v>
      </c>
      <c r="H18" s="338">
        <f>'[3]Salários YTD'!H18</f>
        <v>148.5</v>
      </c>
      <c r="I18" s="338">
        <f>'[3]Salários YTD'!I18</f>
        <v>148.5</v>
      </c>
      <c r="J18" s="338">
        <f>'[3]Salários YTD'!J18</f>
        <v>148.5</v>
      </c>
      <c r="K18" s="338">
        <f>'[3]Salários YTD'!K18</f>
        <v>148.5</v>
      </c>
      <c r="L18" s="338">
        <f>'[3]Salários YTD'!L18</f>
        <v>148.5</v>
      </c>
      <c r="M18" s="338">
        <f>'[3]Salários YTD'!M18</f>
        <v>148.5</v>
      </c>
      <c r="N18" s="338">
        <f>'[3]Salários YTD'!N18</f>
        <v>148.5</v>
      </c>
      <c r="O18" s="338">
        <f>'[3]Salários YTD'!O18</f>
        <v>148.5</v>
      </c>
      <c r="P18" s="338">
        <f>'[3]Salários YTD'!P18</f>
        <v>148.5</v>
      </c>
      <c r="Q18" s="349">
        <f t="shared" si="1"/>
        <v>1782</v>
      </c>
    </row>
    <row r="19" spans="4:17" outlineLevel="1">
      <c r="D19" s="350" t="s">
        <v>25</v>
      </c>
      <c r="E19" s="338">
        <f>'[3]Salários YTD'!E19</f>
        <v>0</v>
      </c>
      <c r="F19" s="338">
        <f>'[3]Salários YTD'!F19</f>
        <v>0</v>
      </c>
      <c r="G19" s="338">
        <f>'[3]Salários YTD'!G19</f>
        <v>0</v>
      </c>
      <c r="H19" s="338">
        <f>'[3]Salários YTD'!H19</f>
        <v>0</v>
      </c>
      <c r="I19" s="338">
        <f>'[3]Salários YTD'!I19</f>
        <v>0</v>
      </c>
      <c r="J19" s="338">
        <f>'[3]Salários YTD'!J19</f>
        <v>0</v>
      </c>
      <c r="K19" s="338">
        <f>'[3]Salários YTD'!K19</f>
        <v>0</v>
      </c>
      <c r="L19" s="338">
        <f>'[3]Salários YTD'!L19</f>
        <v>0</v>
      </c>
      <c r="M19" s="338">
        <f>'[3]Salários YTD'!M19</f>
        <v>0</v>
      </c>
      <c r="N19" s="338">
        <f>'[3]Salários YTD'!N19</f>
        <v>0</v>
      </c>
      <c r="O19" s="338">
        <f>'[3]Salários YTD'!O19</f>
        <v>0</v>
      </c>
      <c r="P19" s="338">
        <f>'[3]Salários YTD'!P19</f>
        <v>0</v>
      </c>
      <c r="Q19" s="349">
        <f t="shared" si="1"/>
        <v>0</v>
      </c>
    </row>
    <row r="20" spans="4:17" outlineLevel="1">
      <c r="D20" s="350" t="s">
        <v>632</v>
      </c>
      <c r="E20" s="338">
        <f>'[3]Salários YTD'!E20</f>
        <v>829.69</v>
      </c>
      <c r="F20" s="338">
        <f>'[3]Salários YTD'!F20</f>
        <v>698.71</v>
      </c>
      <c r="G20" s="338">
        <f>'[3]Salários YTD'!G20</f>
        <v>1149.52</v>
      </c>
      <c r="H20" s="338">
        <f>'[3]Salários YTD'!H20</f>
        <v>1095.1600000000001</v>
      </c>
      <c r="I20" s="338">
        <f>'[3]Salários YTD'!I20</f>
        <v>1095.1600000000001</v>
      </c>
      <c r="J20" s="338">
        <f>'[3]Salários YTD'!J20</f>
        <v>1719.94</v>
      </c>
      <c r="K20" s="338">
        <f>'[3]Salários YTD'!K20</f>
        <v>0</v>
      </c>
      <c r="L20" s="338">
        <f>'[3]Salários YTD'!L20</f>
        <v>0</v>
      </c>
      <c r="M20" s="338">
        <f>'[3]Salários YTD'!M20</f>
        <v>0</v>
      </c>
      <c r="N20" s="338">
        <f>'[3]Salários YTD'!N20</f>
        <v>0</v>
      </c>
      <c r="O20" s="338">
        <f>'[3]Salários YTD'!O20</f>
        <v>0</v>
      </c>
      <c r="P20" s="338">
        <f>'[3]Salários YTD'!P20</f>
        <v>0</v>
      </c>
      <c r="Q20" s="349">
        <f t="shared" si="1"/>
        <v>6588.18</v>
      </c>
    </row>
    <row r="21" spans="4:17" outlineLevel="1">
      <c r="D21" s="348" t="s">
        <v>345</v>
      </c>
      <c r="E21" s="338">
        <f>'[3]Salários YTD'!E21</f>
        <v>0</v>
      </c>
      <c r="F21" s="338">
        <f>'[3]Salários YTD'!F21</f>
        <v>0</v>
      </c>
      <c r="G21" s="338">
        <f>'[3]Salários YTD'!G21</f>
        <v>0</v>
      </c>
      <c r="H21" s="338">
        <f>'[3]Salários YTD'!H21</f>
        <v>0</v>
      </c>
      <c r="I21" s="338">
        <f>'[3]Salários YTD'!I21</f>
        <v>0</v>
      </c>
      <c r="J21" s="338">
        <f>'[3]Salários YTD'!J21</f>
        <v>0</v>
      </c>
      <c r="K21" s="338">
        <f>'[3]Salários YTD'!K21</f>
        <v>0</v>
      </c>
      <c r="L21" s="338">
        <f>'[3]Salários YTD'!L21</f>
        <v>0</v>
      </c>
      <c r="M21" s="338">
        <f>'[3]Salários YTD'!M21</f>
        <v>0</v>
      </c>
      <c r="N21" s="338">
        <f>'[3]Salários YTD'!N21</f>
        <v>0</v>
      </c>
      <c r="O21" s="338">
        <f>'[3]Salários YTD'!O21</f>
        <v>0</v>
      </c>
      <c r="P21" s="338">
        <f>'[3]Salários YTD'!P21</f>
        <v>0</v>
      </c>
      <c r="Q21" s="349">
        <f t="shared" si="1"/>
        <v>0</v>
      </c>
    </row>
    <row r="22" spans="4:17" outlineLevel="1">
      <c r="D22" s="348" t="s">
        <v>640</v>
      </c>
      <c r="E22" s="338">
        <f>'[3]Salários YTD'!E22</f>
        <v>0</v>
      </c>
      <c r="F22" s="338">
        <f>'[3]Salários YTD'!F22</f>
        <v>0</v>
      </c>
      <c r="G22" s="338">
        <f>'[3]Salários YTD'!G22</f>
        <v>0</v>
      </c>
      <c r="H22" s="338">
        <f>'[3]Salários YTD'!H22</f>
        <v>0</v>
      </c>
      <c r="I22" s="338">
        <f>'[3]Salários YTD'!I22</f>
        <v>0</v>
      </c>
      <c r="J22" s="338">
        <f>'[3]Salários YTD'!J22</f>
        <v>0</v>
      </c>
      <c r="K22" s="338">
        <f>'[3]Salários YTD'!K22</f>
        <v>0</v>
      </c>
      <c r="L22" s="338">
        <f>'[3]Salários YTD'!L22</f>
        <v>0</v>
      </c>
      <c r="M22" s="338">
        <f>'[3]Salários YTD'!M22</f>
        <v>0</v>
      </c>
      <c r="N22" s="338">
        <f>'[3]Salários YTD'!N22</f>
        <v>0</v>
      </c>
      <c r="O22" s="338">
        <f>'[3]Salários YTD'!O22</f>
        <v>1700</v>
      </c>
      <c r="P22" s="338">
        <f>'[3]Salários YTD'!P22</f>
        <v>1700</v>
      </c>
      <c r="Q22" s="349">
        <f t="shared" si="1"/>
        <v>3400</v>
      </c>
    </row>
    <row r="23" spans="4:17">
      <c r="D23" s="343" t="s">
        <v>147</v>
      </c>
      <c r="E23" s="344">
        <f>SUM(E24:E30)</f>
        <v>4286.6000000000004</v>
      </c>
      <c r="F23" s="344">
        <f t="shared" ref="F23" si="3">SUM(F24:F30)</f>
        <v>4231.9000000000005</v>
      </c>
      <c r="G23" s="344">
        <f t="shared" ref="G23" si="4">SUM(G24:G30)</f>
        <v>4319.4000000000005</v>
      </c>
      <c r="H23" s="344">
        <f t="shared" ref="H23" si="5">SUM(H24:H30)</f>
        <v>4726.4000000000005</v>
      </c>
      <c r="I23" s="344">
        <f t="shared" ref="I23" si="6">SUM(I24:I30)</f>
        <v>4763.4000000000005</v>
      </c>
      <c r="J23" s="344">
        <f t="shared" ref="J23" si="7">SUM(J24:J30)</f>
        <v>4556.8</v>
      </c>
      <c r="K23" s="344">
        <f t="shared" ref="K23" si="8">SUM(K24:K30)</f>
        <v>4815.58</v>
      </c>
      <c r="L23" s="344">
        <f t="shared" ref="L23" si="9">SUM(L24:L30)</f>
        <v>0</v>
      </c>
      <c r="M23" s="344">
        <f t="shared" ref="M23" si="10">SUM(M24:M30)</f>
        <v>0</v>
      </c>
      <c r="N23" s="344">
        <f t="shared" ref="N23" si="11">SUM(N24:N30)</f>
        <v>0</v>
      </c>
      <c r="O23" s="344">
        <f t="shared" ref="O23" si="12">SUM(O24:O30)</f>
        <v>0</v>
      </c>
      <c r="P23" s="344">
        <f t="shared" ref="P23" si="13">SUM(P24:P30)</f>
        <v>0</v>
      </c>
      <c r="Q23" s="345">
        <f t="shared" si="1"/>
        <v>31700.080000000002</v>
      </c>
    </row>
    <row r="24" spans="4:17" outlineLevel="1">
      <c r="D24" s="350" t="s">
        <v>639</v>
      </c>
      <c r="E24" s="338">
        <f>'[3]Salários YTD'!E24</f>
        <v>3200</v>
      </c>
      <c r="F24" s="338">
        <f>'[3]Salários YTD'!F24</f>
        <v>3200</v>
      </c>
      <c r="G24" s="338">
        <f>'[3]Salários YTD'!G24</f>
        <v>3200</v>
      </c>
      <c r="H24" s="338">
        <f>'[3]Salários YTD'!H24</f>
        <v>3680</v>
      </c>
      <c r="I24" s="338">
        <f>'[3]Salários YTD'!I24</f>
        <v>3360</v>
      </c>
      <c r="J24" s="338">
        <f>'[3]Salários YTD'!J24</f>
        <v>3389.4</v>
      </c>
      <c r="K24" s="338">
        <f>'[3]Salários YTD'!K24</f>
        <v>4815.58</v>
      </c>
      <c r="L24" s="338">
        <f>'[3]Salários YTD'!L24</f>
        <v>0</v>
      </c>
      <c r="M24" s="338">
        <f>'[3]Salários YTD'!M24</f>
        <v>0</v>
      </c>
      <c r="N24" s="338">
        <f>'[3]Salários YTD'!N24</f>
        <v>0</v>
      </c>
      <c r="O24" s="338">
        <f>'[3]Salários YTD'!O24</f>
        <v>0</v>
      </c>
      <c r="P24" s="338">
        <f>'[3]Salários YTD'!P24</f>
        <v>0</v>
      </c>
      <c r="Q24" s="349">
        <f t="shared" si="1"/>
        <v>24844.980000000003</v>
      </c>
    </row>
    <row r="25" spans="4:17" outlineLevel="1">
      <c r="D25" s="350" t="s">
        <v>199</v>
      </c>
      <c r="E25" s="338">
        <f>'[3]Salários YTD'!E25</f>
        <v>766.5</v>
      </c>
      <c r="F25" s="338">
        <f>'[3]Salários YTD'!F25</f>
        <v>700.8</v>
      </c>
      <c r="G25" s="338">
        <f>'[3]Salários YTD'!G25</f>
        <v>810.3</v>
      </c>
      <c r="H25" s="338">
        <f>'[3]Salários YTD'!H25</f>
        <v>737.3</v>
      </c>
      <c r="I25" s="338">
        <f>'[3]Salários YTD'!I25</f>
        <v>1094.3</v>
      </c>
      <c r="J25" s="338">
        <f>'[3]Salários YTD'!J25</f>
        <v>847.3</v>
      </c>
      <c r="K25" s="338">
        <f>'[3]Salários YTD'!K25</f>
        <v>0</v>
      </c>
      <c r="L25" s="338">
        <f>'[3]Salários YTD'!L25</f>
        <v>0</v>
      </c>
      <c r="M25" s="338">
        <f>'[3]Salários YTD'!M25</f>
        <v>0</v>
      </c>
      <c r="N25" s="338">
        <f>'[3]Salários YTD'!N25</f>
        <v>0</v>
      </c>
      <c r="O25" s="338">
        <f>'[3]Salários YTD'!O25</f>
        <v>0</v>
      </c>
      <c r="P25" s="338">
        <f>'[3]Salários YTD'!P25</f>
        <v>0</v>
      </c>
      <c r="Q25" s="349">
        <f t="shared" si="1"/>
        <v>4956.5</v>
      </c>
    </row>
    <row r="26" spans="4:17" outlineLevel="1">
      <c r="D26" s="350" t="s">
        <v>200</v>
      </c>
      <c r="E26" s="338">
        <f>'[3]Salários YTD'!E26</f>
        <v>231</v>
      </c>
      <c r="F26" s="338">
        <f>'[3]Salários YTD'!F26</f>
        <v>242</v>
      </c>
      <c r="G26" s="338">
        <f>'[3]Salários YTD'!G26</f>
        <v>220</v>
      </c>
      <c r="H26" s="338">
        <f>'[3]Salários YTD'!H26</f>
        <v>220</v>
      </c>
      <c r="I26" s="338">
        <f>'[3]Salários YTD'!I26</f>
        <v>220</v>
      </c>
      <c r="J26" s="338">
        <f>'[3]Salários YTD'!J26</f>
        <v>231</v>
      </c>
      <c r="K26" s="338">
        <f>'[3]Salários YTD'!K26</f>
        <v>0</v>
      </c>
      <c r="L26" s="338">
        <f>'[3]Salários YTD'!L26</f>
        <v>0</v>
      </c>
      <c r="M26" s="338">
        <f>'[3]Salários YTD'!M26</f>
        <v>0</v>
      </c>
      <c r="N26" s="338">
        <f>'[3]Salários YTD'!N26</f>
        <v>0</v>
      </c>
      <c r="O26" s="338">
        <f>'[3]Salários YTD'!O26</f>
        <v>0</v>
      </c>
      <c r="P26" s="338">
        <f>'[3]Salários YTD'!P26</f>
        <v>0</v>
      </c>
      <c r="Q26" s="349">
        <f t="shared" si="1"/>
        <v>1364</v>
      </c>
    </row>
    <row r="27" spans="4:17" outlineLevel="1">
      <c r="D27" s="350" t="s">
        <v>201</v>
      </c>
      <c r="E27" s="338">
        <f>'[3]Salários YTD'!E27</f>
        <v>89.1</v>
      </c>
      <c r="F27" s="338">
        <f>'[3]Salários YTD'!F27</f>
        <v>89.1</v>
      </c>
      <c r="G27" s="338">
        <f>'[3]Salários YTD'!G27</f>
        <v>89.1</v>
      </c>
      <c r="H27" s="338">
        <f>'[3]Salários YTD'!H27</f>
        <v>89.1</v>
      </c>
      <c r="I27" s="338">
        <f>'[3]Salários YTD'!I27</f>
        <v>89.1</v>
      </c>
      <c r="J27" s="338">
        <f>'[3]Salários YTD'!J27</f>
        <v>89.1</v>
      </c>
      <c r="K27" s="338">
        <f>'[3]Salários YTD'!K27</f>
        <v>0</v>
      </c>
      <c r="L27" s="338">
        <f>'[3]Salários YTD'!L27</f>
        <v>0</v>
      </c>
      <c r="M27" s="338">
        <f>'[3]Salários YTD'!M27</f>
        <v>0</v>
      </c>
      <c r="N27" s="338">
        <f>'[3]Salários YTD'!N27</f>
        <v>0</v>
      </c>
      <c r="O27" s="338">
        <f>'[3]Salários YTD'!O27</f>
        <v>0</v>
      </c>
      <c r="P27" s="338">
        <f>'[3]Salários YTD'!P27</f>
        <v>0</v>
      </c>
      <c r="Q27" s="349">
        <f t="shared" si="1"/>
        <v>534.6</v>
      </c>
    </row>
    <row r="28" spans="4:17" outlineLevel="1">
      <c r="D28" s="350" t="s">
        <v>25</v>
      </c>
      <c r="E28" s="338">
        <f>'[3]Salários YTD'!E28</f>
        <v>0</v>
      </c>
      <c r="F28" s="338">
        <f>'[3]Salários YTD'!F28</f>
        <v>0</v>
      </c>
      <c r="G28" s="338">
        <f>'[3]Salários YTD'!G28</f>
        <v>0</v>
      </c>
      <c r="H28" s="338">
        <f>'[3]Salários YTD'!H28</f>
        <v>0</v>
      </c>
      <c r="I28" s="338">
        <f>'[3]Salários YTD'!I28</f>
        <v>0</v>
      </c>
      <c r="J28" s="338">
        <f>'[3]Salários YTD'!J28</f>
        <v>0</v>
      </c>
      <c r="K28" s="338">
        <f>'[3]Salários YTD'!K28</f>
        <v>0</v>
      </c>
      <c r="L28" s="338">
        <f>'[3]Salários YTD'!L28</f>
        <v>0</v>
      </c>
      <c r="M28" s="338">
        <f>'[3]Salários YTD'!M28</f>
        <v>0</v>
      </c>
      <c r="N28" s="338">
        <f>'[3]Salários YTD'!N28</f>
        <v>0</v>
      </c>
      <c r="O28" s="338">
        <f>'[3]Salários YTD'!O28</f>
        <v>0</v>
      </c>
      <c r="P28" s="338">
        <f>'[3]Salários YTD'!P28</f>
        <v>0</v>
      </c>
      <c r="Q28" s="349">
        <f t="shared" si="1"/>
        <v>0</v>
      </c>
    </row>
    <row r="29" spans="4:17" outlineLevel="1">
      <c r="D29" s="348" t="s">
        <v>345</v>
      </c>
      <c r="E29" s="338">
        <f>'[3]Salários YTD'!E29</f>
        <v>0</v>
      </c>
      <c r="F29" s="338">
        <f>'[3]Salários YTD'!F29</f>
        <v>0</v>
      </c>
      <c r="G29" s="338">
        <f>'[3]Salários YTD'!G29</f>
        <v>0</v>
      </c>
      <c r="H29" s="338">
        <f>'[3]Salários YTD'!H29</f>
        <v>0</v>
      </c>
      <c r="I29" s="338">
        <f>'[3]Salários YTD'!I29</f>
        <v>0</v>
      </c>
      <c r="J29" s="338">
        <f>'[3]Salários YTD'!J29</f>
        <v>0</v>
      </c>
      <c r="K29" s="338">
        <f>'[3]Salários YTD'!K29</f>
        <v>0</v>
      </c>
      <c r="L29" s="338">
        <f>'[3]Salários YTD'!L29</f>
        <v>0</v>
      </c>
      <c r="M29" s="338">
        <f>'[3]Salários YTD'!M29</f>
        <v>0</v>
      </c>
      <c r="N29" s="338">
        <f>'[3]Salários YTD'!N29</f>
        <v>0</v>
      </c>
      <c r="O29" s="338">
        <f>'[3]Salários YTD'!O29</f>
        <v>0</v>
      </c>
      <c r="P29" s="338">
        <f>'[3]Salários YTD'!P29</f>
        <v>0</v>
      </c>
      <c r="Q29" s="349">
        <f t="shared" si="1"/>
        <v>0</v>
      </c>
    </row>
    <row r="30" spans="4:17" outlineLevel="1">
      <c r="D30" s="348" t="s">
        <v>640</v>
      </c>
      <c r="E30" s="338">
        <f>'[3]Salários YTD'!E30</f>
        <v>0</v>
      </c>
      <c r="F30" s="338">
        <f>'[3]Salários YTD'!F30</f>
        <v>0</v>
      </c>
      <c r="G30" s="338">
        <f>'[3]Salários YTD'!G30</f>
        <v>0</v>
      </c>
      <c r="H30" s="338">
        <f>'[3]Salários YTD'!H30</f>
        <v>0</v>
      </c>
      <c r="I30" s="338">
        <f>'[3]Salários YTD'!I30</f>
        <v>0</v>
      </c>
      <c r="J30" s="338">
        <f>'[3]Salários YTD'!J30</f>
        <v>0</v>
      </c>
      <c r="K30" s="338">
        <f>'[3]Salários YTD'!K30</f>
        <v>0</v>
      </c>
      <c r="L30" s="338">
        <f>'[3]Salários YTD'!L30</f>
        <v>0</v>
      </c>
      <c r="M30" s="338">
        <f>'[3]Salários YTD'!M30</f>
        <v>0</v>
      </c>
      <c r="N30" s="338">
        <f>'[3]Salários YTD'!N30</f>
        <v>0</v>
      </c>
      <c r="O30" s="338">
        <f>'[3]Salários YTD'!O30</f>
        <v>0</v>
      </c>
      <c r="P30" s="338">
        <f>'[3]Salários YTD'!P30</f>
        <v>0</v>
      </c>
      <c r="Q30" s="349">
        <f t="shared" si="1"/>
        <v>0</v>
      </c>
    </row>
    <row r="31" spans="4:17">
      <c r="D31" s="343" t="s">
        <v>634</v>
      </c>
      <c r="E31" s="344">
        <f>SUM(E32:E38)</f>
        <v>3027.2</v>
      </c>
      <c r="F31" s="344">
        <f t="shared" ref="F31" si="14">SUM(F32:F38)</f>
        <v>5545.94</v>
      </c>
      <c r="G31" s="344">
        <f t="shared" ref="G31" si="15">SUM(G32:G38)</f>
        <v>3052.7</v>
      </c>
      <c r="H31" s="344">
        <f t="shared" ref="H31" si="16">SUM(H32:H38)</f>
        <v>1689.3799999999999</v>
      </c>
      <c r="I31" s="344">
        <f t="shared" ref="I31" si="17">SUM(I32:I38)</f>
        <v>3436.7</v>
      </c>
      <c r="J31" s="344">
        <f t="shared" ref="J31" si="18">SUM(J32:J38)</f>
        <v>3230.1</v>
      </c>
      <c r="K31" s="344">
        <f t="shared" ref="K31" si="19">SUM(K32:K38)</f>
        <v>3332.1</v>
      </c>
      <c r="L31" s="344">
        <f t="shared" ref="L31" si="20">SUM(L32:L38)</f>
        <v>3230.1</v>
      </c>
      <c r="M31" s="344">
        <f t="shared" ref="M31" si="21">SUM(M32:M38)</f>
        <v>3310.1</v>
      </c>
      <c r="N31" s="344">
        <f t="shared" ref="N31" si="22">SUM(N32:N38)</f>
        <v>3310.1</v>
      </c>
      <c r="O31" s="344">
        <f t="shared" ref="O31" si="23">SUM(O32:O38)</f>
        <v>4360.1000000000004</v>
      </c>
      <c r="P31" s="344">
        <f t="shared" ref="P31" si="24">SUM(P32:P38)</f>
        <v>4360.1000000000004</v>
      </c>
      <c r="Q31" s="345">
        <f t="shared" si="1"/>
        <v>41884.619999999988</v>
      </c>
    </row>
    <row r="32" spans="4:17" outlineLevel="1">
      <c r="D32" s="350" t="s">
        <v>639</v>
      </c>
      <c r="E32" s="338">
        <f>'[3]Salários YTD'!E32</f>
        <v>2000</v>
      </c>
      <c r="F32" s="338">
        <f>'[3]Salários YTD'!F32</f>
        <v>2000</v>
      </c>
      <c r="G32" s="338">
        <f>'[3]Salários YTD'!G32</f>
        <v>2000</v>
      </c>
      <c r="H32" s="338">
        <f>'[3]Salários YTD'!H32</f>
        <v>709.68</v>
      </c>
      <c r="I32" s="338">
        <f>'[3]Salários YTD'!I32</f>
        <v>2100</v>
      </c>
      <c r="J32" s="338">
        <f>'[3]Salários YTD'!J32</f>
        <v>2129.4</v>
      </c>
      <c r="K32" s="338">
        <f>'[3]Salários YTD'!K32</f>
        <v>2129.4</v>
      </c>
      <c r="L32" s="338">
        <f>'[3]Salários YTD'!L32</f>
        <v>2129.4</v>
      </c>
      <c r="M32" s="338">
        <f>'[3]Salários YTD'!M32</f>
        <v>2129.4</v>
      </c>
      <c r="N32" s="338">
        <f>'[3]Salários YTD'!N32</f>
        <v>2129.4</v>
      </c>
      <c r="O32" s="338">
        <f>'[3]Salários YTD'!O32</f>
        <v>2129.4</v>
      </c>
      <c r="P32" s="338">
        <f>'[3]Salários YTD'!P32</f>
        <v>2129.4</v>
      </c>
      <c r="Q32" s="349">
        <f t="shared" si="1"/>
        <v>23715.480000000003</v>
      </c>
    </row>
    <row r="33" spans="4:17" outlineLevel="1">
      <c r="D33" s="350" t="s">
        <v>199</v>
      </c>
      <c r="E33" s="338">
        <f>'[3]Salários YTD'!E33</f>
        <v>766.5</v>
      </c>
      <c r="F33" s="338">
        <f>'[3]Salários YTD'!F33</f>
        <v>693.5</v>
      </c>
      <c r="G33" s="338">
        <f>'[3]Salários YTD'!G33</f>
        <v>803</v>
      </c>
      <c r="H33" s="338">
        <f>'[3]Salários YTD'!H33</f>
        <v>730</v>
      </c>
      <c r="I33" s="338">
        <f>'[3]Salários YTD'!I33</f>
        <v>1087</v>
      </c>
      <c r="J33" s="338">
        <f>'[3]Salários YTD'!J33</f>
        <v>840</v>
      </c>
      <c r="K33" s="338">
        <f>'[3]Salários YTD'!K33</f>
        <v>920</v>
      </c>
      <c r="L33" s="338">
        <f>'[3]Salários YTD'!L33</f>
        <v>840</v>
      </c>
      <c r="M33" s="338">
        <f>'[3]Salários YTD'!M33</f>
        <v>920</v>
      </c>
      <c r="N33" s="338">
        <f>'[3]Salários YTD'!N33</f>
        <v>920</v>
      </c>
      <c r="O33" s="338">
        <f>'[3]Salários YTD'!O33</f>
        <v>920</v>
      </c>
      <c r="P33" s="338">
        <f>'[3]Salários YTD'!P33</f>
        <v>920</v>
      </c>
      <c r="Q33" s="349">
        <f t="shared" si="1"/>
        <v>10360</v>
      </c>
    </row>
    <row r="34" spans="4:17" outlineLevel="1">
      <c r="D34" s="350" t="s">
        <v>200</v>
      </c>
      <c r="E34" s="338">
        <f>'[3]Salários YTD'!E34</f>
        <v>231</v>
      </c>
      <c r="F34" s="338">
        <f>'[3]Salários YTD'!F34</f>
        <v>242</v>
      </c>
      <c r="G34" s="338">
        <f>'[3]Salários YTD'!G34</f>
        <v>220</v>
      </c>
      <c r="H34" s="338">
        <f>'[3]Salários YTD'!H34</f>
        <v>220</v>
      </c>
      <c r="I34" s="338">
        <f>'[3]Salários YTD'!I34</f>
        <v>220</v>
      </c>
      <c r="J34" s="338">
        <f>'[3]Salários YTD'!J34</f>
        <v>231</v>
      </c>
      <c r="K34" s="338">
        <f>'[3]Salários YTD'!K34</f>
        <v>253</v>
      </c>
      <c r="L34" s="338">
        <f>'[3]Salários YTD'!L34</f>
        <v>231</v>
      </c>
      <c r="M34" s="338">
        <f>'[3]Salários YTD'!M34</f>
        <v>231</v>
      </c>
      <c r="N34" s="338">
        <f>'[3]Salários YTD'!N34</f>
        <v>231</v>
      </c>
      <c r="O34" s="338">
        <f>'[3]Salários YTD'!O34</f>
        <v>231</v>
      </c>
      <c r="P34" s="338">
        <f>'[3]Salários YTD'!P34</f>
        <v>231</v>
      </c>
      <c r="Q34" s="349">
        <f t="shared" si="1"/>
        <v>2772</v>
      </c>
    </row>
    <row r="35" spans="4:17" outlineLevel="1">
      <c r="D35" s="350" t="s">
        <v>201</v>
      </c>
      <c r="E35" s="338">
        <f>'[3]Salários YTD'!E35</f>
        <v>29.7</v>
      </c>
      <c r="F35" s="338">
        <f>'[3]Salários YTD'!F35</f>
        <v>29.7</v>
      </c>
      <c r="G35" s="338">
        <f>'[3]Salários YTD'!G35</f>
        <v>29.7</v>
      </c>
      <c r="H35" s="338">
        <f>'[3]Salários YTD'!H35</f>
        <v>29.7</v>
      </c>
      <c r="I35" s="338">
        <f>'[3]Salários YTD'!I35</f>
        <v>29.7</v>
      </c>
      <c r="J35" s="338">
        <f>'[3]Salários YTD'!J35</f>
        <v>29.7</v>
      </c>
      <c r="K35" s="338">
        <f>'[3]Salários YTD'!K35</f>
        <v>29.7</v>
      </c>
      <c r="L35" s="338">
        <f>'[3]Salários YTD'!L35</f>
        <v>29.7</v>
      </c>
      <c r="M35" s="338">
        <f>'[3]Salários YTD'!M35</f>
        <v>29.7</v>
      </c>
      <c r="N35" s="338">
        <f>'[3]Salários YTD'!N35</f>
        <v>29.7</v>
      </c>
      <c r="O35" s="338">
        <f>'[3]Salários YTD'!O35</f>
        <v>29.7</v>
      </c>
      <c r="P35" s="338">
        <f>'[3]Salários YTD'!P35</f>
        <v>29.7</v>
      </c>
      <c r="Q35" s="349">
        <f t="shared" si="1"/>
        <v>356.39999999999992</v>
      </c>
    </row>
    <row r="36" spans="4:17" outlineLevel="1">
      <c r="D36" s="350" t="s">
        <v>25</v>
      </c>
      <c r="E36" s="338">
        <f>'[3]Salários YTD'!E36</f>
        <v>0</v>
      </c>
      <c r="F36" s="338">
        <f>'[3]Salários YTD'!F36</f>
        <v>0</v>
      </c>
      <c r="G36" s="338">
        <f>'[3]Salários YTD'!G36</f>
        <v>0</v>
      </c>
      <c r="H36" s="338">
        <f>'[3]Salários YTD'!H36</f>
        <v>0</v>
      </c>
      <c r="I36" s="338">
        <f>'[3]Salários YTD'!I36</f>
        <v>0</v>
      </c>
      <c r="J36" s="338">
        <f>'[3]Salários YTD'!J36</f>
        <v>0</v>
      </c>
      <c r="K36" s="338">
        <f>'[3]Salários YTD'!K36</f>
        <v>0</v>
      </c>
      <c r="L36" s="338">
        <f>'[3]Salários YTD'!L36</f>
        <v>0</v>
      </c>
      <c r="M36" s="338">
        <f>'[3]Salários YTD'!M36</f>
        <v>0</v>
      </c>
      <c r="N36" s="338">
        <f>'[3]Salários YTD'!N36</f>
        <v>0</v>
      </c>
      <c r="O36" s="338">
        <f>'[3]Salários YTD'!O36</f>
        <v>0</v>
      </c>
      <c r="P36" s="338">
        <f>'[3]Salários YTD'!P36</f>
        <v>0</v>
      </c>
      <c r="Q36" s="349">
        <f t="shared" si="1"/>
        <v>0</v>
      </c>
    </row>
    <row r="37" spans="4:17" outlineLevel="1">
      <c r="D37" s="348" t="s">
        <v>345</v>
      </c>
      <c r="E37" s="338">
        <f>'[3]Salários YTD'!E37</f>
        <v>0</v>
      </c>
      <c r="F37" s="338">
        <f>'[3]Salários YTD'!F37</f>
        <v>2580.7399999999998</v>
      </c>
      <c r="G37" s="338">
        <f>'[3]Salários YTD'!G37</f>
        <v>0</v>
      </c>
      <c r="H37" s="338">
        <f>'[3]Salários YTD'!H37</f>
        <v>0</v>
      </c>
      <c r="I37" s="338">
        <f>'[3]Salários YTD'!I37</f>
        <v>0</v>
      </c>
      <c r="J37" s="338">
        <f>'[3]Salários YTD'!J37</f>
        <v>0</v>
      </c>
      <c r="K37" s="338">
        <f>'[3]Salários YTD'!K37</f>
        <v>0</v>
      </c>
      <c r="L37" s="338">
        <f>'[3]Salários YTD'!L37</f>
        <v>0</v>
      </c>
      <c r="M37" s="338">
        <f>'[3]Salários YTD'!M37</f>
        <v>0</v>
      </c>
      <c r="N37" s="338">
        <f>'[3]Salários YTD'!N37</f>
        <v>0</v>
      </c>
      <c r="O37" s="338">
        <f>'[3]Salários YTD'!O37</f>
        <v>0</v>
      </c>
      <c r="P37" s="338">
        <f>'[3]Salários YTD'!P37</f>
        <v>0</v>
      </c>
      <c r="Q37" s="349">
        <f t="shared" si="1"/>
        <v>2580.7399999999998</v>
      </c>
    </row>
    <row r="38" spans="4:17" outlineLevel="1">
      <c r="D38" s="348" t="s">
        <v>640</v>
      </c>
      <c r="E38" s="338">
        <f>'[3]Salários YTD'!E38</f>
        <v>0</v>
      </c>
      <c r="F38" s="338">
        <f>'[3]Salários YTD'!F38</f>
        <v>0</v>
      </c>
      <c r="G38" s="338">
        <f>'[3]Salários YTD'!G38</f>
        <v>0</v>
      </c>
      <c r="H38" s="338">
        <f>'[3]Salários YTD'!H38</f>
        <v>0</v>
      </c>
      <c r="I38" s="338">
        <f>'[3]Salários YTD'!I38</f>
        <v>0</v>
      </c>
      <c r="J38" s="338">
        <f>'[3]Salários YTD'!J38</f>
        <v>0</v>
      </c>
      <c r="K38" s="338">
        <f>'[3]Salários YTD'!K38</f>
        <v>0</v>
      </c>
      <c r="L38" s="338">
        <f>'[3]Salários YTD'!L38</f>
        <v>0</v>
      </c>
      <c r="M38" s="338">
        <f>'[3]Salários YTD'!M38</f>
        <v>0</v>
      </c>
      <c r="N38" s="338">
        <f>'[3]Salários YTD'!N38</f>
        <v>0</v>
      </c>
      <c r="O38" s="338">
        <f>'[3]Salários YTD'!O38</f>
        <v>1050</v>
      </c>
      <c r="P38" s="338">
        <f>'[3]Salários YTD'!P38</f>
        <v>1050</v>
      </c>
      <c r="Q38" s="349">
        <f t="shared" si="1"/>
        <v>2100</v>
      </c>
    </row>
    <row r="39" spans="4:17">
      <c r="D39" s="343" t="s">
        <v>196</v>
      </c>
      <c r="E39" s="344">
        <f>SUM(E40:E47)</f>
        <v>3387.43</v>
      </c>
      <c r="F39" s="344">
        <f t="shared" ref="F39" si="25">SUM(F40:F47)</f>
        <v>2901.2</v>
      </c>
      <c r="G39" s="344">
        <f t="shared" ref="G39" si="26">SUM(G40:G47)</f>
        <v>3448.7</v>
      </c>
      <c r="H39" s="344">
        <f t="shared" ref="H39" si="27">SUM(H40:H47)</f>
        <v>3074.8999999999996</v>
      </c>
      <c r="I39" s="344">
        <f t="shared" ref="I39" si="28">SUM(I40:I47)</f>
        <v>3038.75</v>
      </c>
      <c r="J39" s="344">
        <f t="shared" ref="J39" si="29">SUM(J40:J47)</f>
        <v>2802.75</v>
      </c>
      <c r="K39" s="344">
        <f t="shared" ref="K39" si="30">SUM(K40:K47)</f>
        <v>2904.75</v>
      </c>
      <c r="L39" s="344">
        <f t="shared" ref="L39" si="31">SUM(L40:L47)</f>
        <v>2802.75</v>
      </c>
      <c r="M39" s="344">
        <f t="shared" ref="M39" si="32">SUM(M40:M47)</f>
        <v>2882.75</v>
      </c>
      <c r="N39" s="344">
        <f t="shared" ref="N39" si="33">SUM(N40:N47)</f>
        <v>2882.75</v>
      </c>
      <c r="O39" s="344">
        <f t="shared" ref="O39" si="34">SUM(O40:O47)</f>
        <v>3782.75</v>
      </c>
      <c r="P39" s="344">
        <f t="shared" ref="P39" si="35">SUM(P40:P47)</f>
        <v>3782.75</v>
      </c>
      <c r="Q39" s="345">
        <f t="shared" si="1"/>
        <v>37692.229999999996</v>
      </c>
    </row>
    <row r="40" spans="4:17" outlineLevel="1">
      <c r="D40" s="350" t="s">
        <v>639</v>
      </c>
      <c r="E40" s="338">
        <f>'[3]Salários YTD'!E40</f>
        <v>1621</v>
      </c>
      <c r="F40" s="338">
        <f>'[3]Salários YTD'!F40</f>
        <v>1621</v>
      </c>
      <c r="G40" s="338">
        <f>'[3]Salários YTD'!G40</f>
        <v>1621</v>
      </c>
      <c r="H40" s="338">
        <f>'[3]Salários YTD'!H40</f>
        <v>1945.2</v>
      </c>
      <c r="I40" s="338">
        <f>'[3]Salários YTD'!I40</f>
        <v>1702.05</v>
      </c>
      <c r="J40" s="338">
        <f>'[3]Salários YTD'!J40</f>
        <v>1702.05</v>
      </c>
      <c r="K40" s="338">
        <f>'[3]Salários YTD'!K40</f>
        <v>1702.05</v>
      </c>
      <c r="L40" s="338">
        <f>'[3]Salários YTD'!L40</f>
        <v>1702.05</v>
      </c>
      <c r="M40" s="338">
        <f>'[3]Salários YTD'!M40</f>
        <v>1702.05</v>
      </c>
      <c r="N40" s="338">
        <f>'[3]Salários YTD'!N40</f>
        <v>1702.05</v>
      </c>
      <c r="O40" s="338">
        <f>'[3]Salários YTD'!O40</f>
        <v>1702.05</v>
      </c>
      <c r="P40" s="338">
        <f>'[3]Salários YTD'!P40</f>
        <v>1702.05</v>
      </c>
      <c r="Q40" s="349">
        <f t="shared" si="1"/>
        <v>20424.599999999995</v>
      </c>
    </row>
    <row r="41" spans="4:17" outlineLevel="1">
      <c r="D41" s="350" t="s">
        <v>199</v>
      </c>
      <c r="E41" s="338">
        <f>'[3]Salários YTD'!E41</f>
        <v>766.5</v>
      </c>
      <c r="F41" s="338">
        <f>'[3]Salários YTD'!F41</f>
        <v>693.5</v>
      </c>
      <c r="G41" s="338">
        <f>'[3]Salários YTD'!G41</f>
        <v>803</v>
      </c>
      <c r="H41" s="338">
        <f>'[3]Salários YTD'!H41</f>
        <v>730</v>
      </c>
      <c r="I41" s="338">
        <f>'[3]Salários YTD'!I41</f>
        <v>1087</v>
      </c>
      <c r="J41" s="338">
        <f>'[3]Salários YTD'!J41</f>
        <v>840</v>
      </c>
      <c r="K41" s="338">
        <f>'[3]Salários YTD'!K41</f>
        <v>920</v>
      </c>
      <c r="L41" s="338">
        <f>'[3]Salários YTD'!L41</f>
        <v>840</v>
      </c>
      <c r="M41" s="338">
        <f>'[3]Salários YTD'!M41</f>
        <v>920</v>
      </c>
      <c r="N41" s="338">
        <f>'[3]Salários YTD'!N41</f>
        <v>920</v>
      </c>
      <c r="O41" s="338">
        <f>'[3]Salários YTD'!O41</f>
        <v>920</v>
      </c>
      <c r="P41" s="338">
        <f>'[3]Salários YTD'!P41</f>
        <v>920</v>
      </c>
      <c r="Q41" s="349">
        <f t="shared" si="1"/>
        <v>10360</v>
      </c>
    </row>
    <row r="42" spans="4:17" outlineLevel="1">
      <c r="D42" s="350" t="s">
        <v>200</v>
      </c>
      <c r="E42" s="338">
        <f>'[3]Salários YTD'!E42</f>
        <v>231</v>
      </c>
      <c r="F42" s="338">
        <f>'[3]Salários YTD'!F42</f>
        <v>242</v>
      </c>
      <c r="G42" s="338">
        <f>'[3]Salários YTD'!G42</f>
        <v>220</v>
      </c>
      <c r="H42" s="338">
        <f>'[3]Salários YTD'!H42</f>
        <v>220</v>
      </c>
      <c r="I42" s="338">
        <f>'[3]Salários YTD'!I42</f>
        <v>220</v>
      </c>
      <c r="J42" s="338">
        <f>'[3]Salários YTD'!J42</f>
        <v>231</v>
      </c>
      <c r="K42" s="338">
        <f>'[3]Salários YTD'!K42</f>
        <v>253</v>
      </c>
      <c r="L42" s="338">
        <f>'[3]Salários YTD'!L42</f>
        <v>231</v>
      </c>
      <c r="M42" s="338">
        <f>'[3]Salários YTD'!M42</f>
        <v>231</v>
      </c>
      <c r="N42" s="338">
        <f>'[3]Salários YTD'!N42</f>
        <v>231</v>
      </c>
      <c r="O42" s="338">
        <f>'[3]Salários YTD'!O42</f>
        <v>231</v>
      </c>
      <c r="P42" s="338">
        <f>'[3]Salários YTD'!P42</f>
        <v>231</v>
      </c>
      <c r="Q42" s="349">
        <f t="shared" si="1"/>
        <v>2772</v>
      </c>
    </row>
    <row r="43" spans="4:17" outlineLevel="1">
      <c r="D43" s="350" t="s">
        <v>201</v>
      </c>
      <c r="E43" s="338">
        <f>'[3]Salários YTD'!E43</f>
        <v>29.7</v>
      </c>
      <c r="F43" s="338">
        <f>'[3]Salários YTD'!F43</f>
        <v>29.7</v>
      </c>
      <c r="G43" s="338">
        <f>'[3]Salários YTD'!G43</f>
        <v>29.7</v>
      </c>
      <c r="H43" s="338">
        <f>'[3]Salários YTD'!H43</f>
        <v>29.7</v>
      </c>
      <c r="I43" s="338">
        <f>'[3]Salários YTD'!I43</f>
        <v>29.7</v>
      </c>
      <c r="J43" s="338">
        <f>'[3]Salários YTD'!J43</f>
        <v>29.7</v>
      </c>
      <c r="K43" s="338">
        <f>'[3]Salários YTD'!K43</f>
        <v>29.7</v>
      </c>
      <c r="L43" s="338">
        <f>'[3]Salários YTD'!L43</f>
        <v>29.7</v>
      </c>
      <c r="M43" s="338">
        <f>'[3]Salários YTD'!M43</f>
        <v>29.7</v>
      </c>
      <c r="N43" s="338">
        <f>'[3]Salários YTD'!N43</f>
        <v>29.7</v>
      </c>
      <c r="O43" s="338">
        <f>'[3]Salários YTD'!O43</f>
        <v>29.7</v>
      </c>
      <c r="P43" s="338">
        <f>'[3]Salários YTD'!P43</f>
        <v>29.7</v>
      </c>
      <c r="Q43" s="349">
        <f t="shared" si="1"/>
        <v>356.39999999999992</v>
      </c>
    </row>
    <row r="44" spans="4:17" outlineLevel="1">
      <c r="D44" s="350" t="s">
        <v>25</v>
      </c>
      <c r="E44" s="338">
        <f>'[3]Salários YTD'!E44</f>
        <v>0</v>
      </c>
      <c r="F44" s="338">
        <f>'[3]Salários YTD'!F44</f>
        <v>0</v>
      </c>
      <c r="G44" s="338">
        <f>'[3]Salários YTD'!G44</f>
        <v>0</v>
      </c>
      <c r="H44" s="338">
        <f>'[3]Salários YTD'!H44</f>
        <v>0</v>
      </c>
      <c r="I44" s="338">
        <f>'[3]Salários YTD'!I44</f>
        <v>0</v>
      </c>
      <c r="J44" s="338">
        <f>'[3]Salários YTD'!J44</f>
        <v>0</v>
      </c>
      <c r="K44" s="338">
        <f>'[3]Salários YTD'!K44</f>
        <v>0</v>
      </c>
      <c r="L44" s="338">
        <f>'[3]Salários YTD'!L44</f>
        <v>0</v>
      </c>
      <c r="M44" s="338">
        <f>'[3]Salários YTD'!M44</f>
        <v>0</v>
      </c>
      <c r="N44" s="338">
        <f>'[3]Salários YTD'!N44</f>
        <v>0</v>
      </c>
      <c r="O44" s="338">
        <f>'[3]Salários YTD'!O44</f>
        <v>0</v>
      </c>
      <c r="P44" s="338">
        <f>'[3]Salários YTD'!P44</f>
        <v>0</v>
      </c>
      <c r="Q44" s="349">
        <f t="shared" si="1"/>
        <v>0</v>
      </c>
    </row>
    <row r="45" spans="4:17" outlineLevel="1">
      <c r="D45" s="350" t="s">
        <v>632</v>
      </c>
      <c r="E45" s="338">
        <f>'[3]Salários YTD'!E45</f>
        <v>739.23</v>
      </c>
      <c r="F45" s="338">
        <f>'[3]Salários YTD'!F45</f>
        <v>315</v>
      </c>
      <c r="G45" s="338">
        <f>'[3]Salários YTD'!G45</f>
        <v>775</v>
      </c>
      <c r="H45" s="338">
        <f>'[3]Salários YTD'!H45</f>
        <v>150</v>
      </c>
      <c r="I45" s="338" t="str">
        <f>'[3]Salários YTD'!I45</f>
        <v>-</v>
      </c>
      <c r="J45" s="338">
        <f>'[3]Salários YTD'!J45</f>
        <v>0</v>
      </c>
      <c r="K45" s="338">
        <f>'[3]Salários YTD'!K45</f>
        <v>0</v>
      </c>
      <c r="L45" s="338">
        <f>'[3]Salários YTD'!L45</f>
        <v>0</v>
      </c>
      <c r="M45" s="338">
        <f>'[3]Salários YTD'!M45</f>
        <v>0</v>
      </c>
      <c r="N45" s="338">
        <f>'[3]Salários YTD'!N45</f>
        <v>0</v>
      </c>
      <c r="O45" s="338">
        <f>'[3]Salários YTD'!O45</f>
        <v>0</v>
      </c>
      <c r="P45" s="338">
        <f>'[3]Salários YTD'!P45</f>
        <v>0</v>
      </c>
      <c r="Q45" s="349">
        <f t="shared" si="1"/>
        <v>1979.23</v>
      </c>
    </row>
    <row r="46" spans="4:17" outlineLevel="1">
      <c r="D46" s="348" t="s">
        <v>345</v>
      </c>
      <c r="E46" s="338">
        <f>'[3]Salários YTD'!E46</f>
        <v>0</v>
      </c>
      <c r="F46" s="338">
        <f>'[3]Salários YTD'!F46</f>
        <v>0</v>
      </c>
      <c r="G46" s="338">
        <f>'[3]Salários YTD'!G46</f>
        <v>0</v>
      </c>
      <c r="H46" s="338">
        <f>'[3]Salários YTD'!H46</f>
        <v>0</v>
      </c>
      <c r="I46" s="338">
        <f>'[3]Salários YTD'!I46</f>
        <v>0</v>
      </c>
      <c r="J46" s="338">
        <f>'[3]Salários YTD'!J46</f>
        <v>0</v>
      </c>
      <c r="K46" s="338">
        <f>'[3]Salários YTD'!K46</f>
        <v>0</v>
      </c>
      <c r="L46" s="338">
        <f>'[3]Salários YTD'!L46</f>
        <v>0</v>
      </c>
      <c r="M46" s="338">
        <f>'[3]Salários YTD'!M46</f>
        <v>0</v>
      </c>
      <c r="N46" s="338">
        <f>'[3]Salários YTD'!N46</f>
        <v>0</v>
      </c>
      <c r="O46" s="338">
        <f>'[3]Salários YTD'!O46</f>
        <v>0</v>
      </c>
      <c r="P46" s="338">
        <f>'[3]Salários YTD'!P46</f>
        <v>0</v>
      </c>
      <c r="Q46" s="349">
        <f t="shared" si="1"/>
        <v>0</v>
      </c>
    </row>
    <row r="47" spans="4:17" outlineLevel="1">
      <c r="D47" s="348" t="s">
        <v>640</v>
      </c>
      <c r="E47" s="338">
        <f>'[3]Salários YTD'!E47</f>
        <v>0</v>
      </c>
      <c r="F47" s="338">
        <f>'[3]Salários YTD'!F47</f>
        <v>0</v>
      </c>
      <c r="G47" s="338">
        <f>'[3]Salários YTD'!G47</f>
        <v>0</v>
      </c>
      <c r="H47" s="338">
        <f>'[3]Salários YTD'!H47</f>
        <v>0</v>
      </c>
      <c r="I47" s="338">
        <f>'[3]Salários YTD'!I47</f>
        <v>0</v>
      </c>
      <c r="J47" s="338">
        <f>'[3]Salários YTD'!J47</f>
        <v>0</v>
      </c>
      <c r="K47" s="338">
        <f>'[3]Salários YTD'!K47</f>
        <v>0</v>
      </c>
      <c r="L47" s="338">
        <f>'[3]Salários YTD'!L47</f>
        <v>0</v>
      </c>
      <c r="M47" s="338">
        <f>'[3]Salários YTD'!M47</f>
        <v>0</v>
      </c>
      <c r="N47" s="338">
        <f>'[3]Salários YTD'!N47</f>
        <v>0</v>
      </c>
      <c r="O47" s="338">
        <f>'[3]Salários YTD'!O47</f>
        <v>900</v>
      </c>
      <c r="P47" s="338">
        <f>'[3]Salários YTD'!P47</f>
        <v>900</v>
      </c>
      <c r="Q47" s="349">
        <f t="shared" si="1"/>
        <v>1800</v>
      </c>
    </row>
    <row r="48" spans="4:17">
      <c r="D48" s="343" t="s">
        <v>636</v>
      </c>
      <c r="E48" s="344">
        <f>SUM(E49:E52)</f>
        <v>921.58</v>
      </c>
      <c r="F48" s="344">
        <f t="shared" ref="F48:P48" si="36">SUM(F49:F52)</f>
        <v>1687</v>
      </c>
      <c r="G48" s="344">
        <f t="shared" si="36"/>
        <v>1720</v>
      </c>
      <c r="H48" s="344">
        <f t="shared" si="36"/>
        <v>1720</v>
      </c>
      <c r="I48" s="344">
        <f t="shared" si="36"/>
        <v>1720</v>
      </c>
      <c r="J48" s="344">
        <f t="shared" si="36"/>
        <v>1731</v>
      </c>
      <c r="K48" s="344">
        <f t="shared" si="36"/>
        <v>1753</v>
      </c>
      <c r="L48" s="344">
        <f t="shared" si="36"/>
        <v>1731</v>
      </c>
      <c r="M48" s="344">
        <f t="shared" si="36"/>
        <v>0</v>
      </c>
      <c r="N48" s="344">
        <f t="shared" si="36"/>
        <v>0</v>
      </c>
      <c r="O48" s="344">
        <f t="shared" si="36"/>
        <v>0</v>
      </c>
      <c r="P48" s="344">
        <f t="shared" si="36"/>
        <v>0</v>
      </c>
      <c r="Q48" s="345">
        <f t="shared" si="1"/>
        <v>12983.58</v>
      </c>
    </row>
    <row r="49" spans="4:17" hidden="1" outlineLevel="1">
      <c r="D49" s="350" t="s">
        <v>639</v>
      </c>
      <c r="E49" s="338">
        <f>'[3]Salários YTD'!E49</f>
        <v>0</v>
      </c>
      <c r="F49" s="338">
        <f>'[3]Salários YTD'!F49</f>
        <v>0</v>
      </c>
      <c r="G49" s="338">
        <f>'[3]Salários YTD'!G49</f>
        <v>0</v>
      </c>
      <c r="H49" s="338">
        <f>'[3]Salários YTD'!H49</f>
        <v>0</v>
      </c>
      <c r="I49" s="338">
        <f>'[3]Salários YTD'!I49</f>
        <v>0</v>
      </c>
      <c r="J49" s="338">
        <f>'[3]Salários YTD'!J49</f>
        <v>0</v>
      </c>
      <c r="K49" s="338">
        <f>'[3]Salários YTD'!K49</f>
        <v>0</v>
      </c>
      <c r="L49" s="338">
        <f>'[3]Salários YTD'!L49</f>
        <v>0</v>
      </c>
      <c r="M49" s="338">
        <f>'[3]Salários YTD'!M49</f>
        <v>0</v>
      </c>
      <c r="N49" s="338">
        <f>'[3]Salários YTD'!N49</f>
        <v>0</v>
      </c>
      <c r="O49" s="338">
        <f>'[3]Salários YTD'!O49</f>
        <v>0</v>
      </c>
      <c r="P49" s="338">
        <f>'[3]Salários YTD'!P49</f>
        <v>0</v>
      </c>
      <c r="Q49" s="349">
        <f t="shared" si="1"/>
        <v>0</v>
      </c>
    </row>
    <row r="50" spans="4:17" hidden="1" outlineLevel="1">
      <c r="D50" s="350" t="s">
        <v>344</v>
      </c>
      <c r="E50" s="338">
        <f>'[3]Salários YTD'!E50</f>
        <v>822.58</v>
      </c>
      <c r="F50" s="338">
        <f>'[3]Salários YTD'!F50</f>
        <v>1500</v>
      </c>
      <c r="G50" s="338">
        <f>'[3]Salários YTD'!G50</f>
        <v>1500</v>
      </c>
      <c r="H50" s="338">
        <f>'[3]Salários YTD'!H50</f>
        <v>1500</v>
      </c>
      <c r="I50" s="338">
        <f>'[3]Salários YTD'!I50</f>
        <v>1500</v>
      </c>
      <c r="J50" s="338">
        <f>'[3]Salários YTD'!J50</f>
        <v>1500</v>
      </c>
      <c r="K50" s="338">
        <f>'[3]Salários YTD'!K50</f>
        <v>1500</v>
      </c>
      <c r="L50" s="338">
        <f>'[3]Salários YTD'!L50</f>
        <v>1500</v>
      </c>
      <c r="M50" s="338">
        <f>'[3]Salários YTD'!M50</f>
        <v>0</v>
      </c>
      <c r="N50" s="338">
        <f>'[3]Salários YTD'!N50</f>
        <v>0</v>
      </c>
      <c r="O50" s="338">
        <f>'[3]Salários YTD'!O50</f>
        <v>0</v>
      </c>
      <c r="P50" s="338">
        <f>'[3]Salários YTD'!P50</f>
        <v>0</v>
      </c>
      <c r="Q50" s="349">
        <f t="shared" si="1"/>
        <v>11322.58</v>
      </c>
    </row>
    <row r="51" spans="4:17" hidden="1" outlineLevel="1">
      <c r="D51" s="350" t="s">
        <v>200</v>
      </c>
      <c r="E51" s="338">
        <f>'[3]Salários YTD'!E51</f>
        <v>99</v>
      </c>
      <c r="F51" s="338">
        <f>'[3]Salários YTD'!F51</f>
        <v>187</v>
      </c>
      <c r="G51" s="338">
        <f>'[3]Salários YTD'!G51</f>
        <v>220</v>
      </c>
      <c r="H51" s="338">
        <f>'[3]Salários YTD'!H51</f>
        <v>220</v>
      </c>
      <c r="I51" s="338">
        <f>'[3]Salários YTD'!I51</f>
        <v>220</v>
      </c>
      <c r="J51" s="338">
        <f>'[3]Salários YTD'!J51</f>
        <v>231</v>
      </c>
      <c r="K51" s="338">
        <f>'[3]Salários YTD'!K51</f>
        <v>253</v>
      </c>
      <c r="L51" s="338">
        <f>'[3]Salários YTD'!L51</f>
        <v>231</v>
      </c>
      <c r="M51" s="338">
        <f>'[3]Salários YTD'!M51</f>
        <v>0</v>
      </c>
      <c r="N51" s="338">
        <f>'[3]Salários YTD'!N51</f>
        <v>0</v>
      </c>
      <c r="O51" s="338">
        <f>'[3]Salários YTD'!O51</f>
        <v>0</v>
      </c>
      <c r="P51" s="338">
        <f>'[3]Salários YTD'!P51</f>
        <v>0</v>
      </c>
      <c r="Q51" s="349">
        <f t="shared" si="1"/>
        <v>1661</v>
      </c>
    </row>
    <row r="52" spans="4:17" hidden="1" outlineLevel="1">
      <c r="D52" s="350" t="s">
        <v>632</v>
      </c>
      <c r="E52" s="338">
        <f>'[3]Salários YTD'!E52</f>
        <v>0</v>
      </c>
      <c r="F52" s="338">
        <f>'[3]Salários YTD'!F52</f>
        <v>0</v>
      </c>
      <c r="G52" s="338">
        <f>'[3]Salários YTD'!G52</f>
        <v>0</v>
      </c>
      <c r="H52" s="338">
        <f>'[3]Salários YTD'!H52</f>
        <v>0</v>
      </c>
      <c r="I52" s="338">
        <f>'[3]Salários YTD'!I52</f>
        <v>0</v>
      </c>
      <c r="J52" s="338">
        <f>'[3]Salários YTD'!J52</f>
        <v>0</v>
      </c>
      <c r="K52" s="338">
        <f>'[3]Salários YTD'!K52</f>
        <v>0</v>
      </c>
      <c r="L52" s="338">
        <f>'[3]Salários YTD'!L52</f>
        <v>0</v>
      </c>
      <c r="M52" s="338">
        <f>'[3]Salários YTD'!M52</f>
        <v>0</v>
      </c>
      <c r="N52" s="338">
        <f>'[3]Salários YTD'!N52</f>
        <v>0</v>
      </c>
      <c r="O52" s="338">
        <f>'[3]Salários YTD'!O52</f>
        <v>0</v>
      </c>
      <c r="P52" s="338">
        <f>'[3]Salários YTD'!P52</f>
        <v>0</v>
      </c>
      <c r="Q52" s="349">
        <f t="shared" si="1"/>
        <v>0</v>
      </c>
    </row>
    <row r="53" spans="4:17" collapsed="1">
      <c r="D53" s="343" t="s">
        <v>637</v>
      </c>
      <c r="E53" s="344">
        <f>SUM(E54:E57)</f>
        <v>921.58</v>
      </c>
      <c r="F53" s="344">
        <f t="shared" ref="F53:P53" si="37">SUM(F54:F57)</f>
        <v>1687</v>
      </c>
      <c r="G53" s="344">
        <f t="shared" si="37"/>
        <v>1720</v>
      </c>
      <c r="H53" s="344">
        <f t="shared" si="37"/>
        <v>1720</v>
      </c>
      <c r="I53" s="344">
        <f t="shared" si="37"/>
        <v>1720</v>
      </c>
      <c r="J53" s="344">
        <f t="shared" si="37"/>
        <v>1731</v>
      </c>
      <c r="K53" s="344">
        <f t="shared" si="37"/>
        <v>1753</v>
      </c>
      <c r="L53" s="344">
        <f t="shared" si="37"/>
        <v>1731</v>
      </c>
      <c r="M53" s="344">
        <f t="shared" si="37"/>
        <v>0</v>
      </c>
      <c r="N53" s="344">
        <f t="shared" si="37"/>
        <v>0</v>
      </c>
      <c r="O53" s="344">
        <f t="shared" si="37"/>
        <v>0</v>
      </c>
      <c r="P53" s="344">
        <f t="shared" si="37"/>
        <v>0</v>
      </c>
      <c r="Q53" s="345">
        <f t="shared" si="1"/>
        <v>12983.58</v>
      </c>
    </row>
    <row r="54" spans="4:17" hidden="1" outlineLevel="1">
      <c r="D54" s="350" t="s">
        <v>639</v>
      </c>
      <c r="E54" s="338">
        <f>'[3]Salários YTD'!E54</f>
        <v>0</v>
      </c>
      <c r="F54" s="338">
        <f>'[3]Salários YTD'!F54</f>
        <v>0</v>
      </c>
      <c r="G54" s="338">
        <f>'[3]Salários YTD'!G54</f>
        <v>0</v>
      </c>
      <c r="H54" s="338">
        <f>'[3]Salários YTD'!H54</f>
        <v>0</v>
      </c>
      <c r="I54" s="338">
        <f>'[3]Salários YTD'!I54</f>
        <v>0</v>
      </c>
      <c r="J54" s="338">
        <f>'[3]Salários YTD'!J54</f>
        <v>0</v>
      </c>
      <c r="K54" s="338">
        <f>'[3]Salários YTD'!K54</f>
        <v>0</v>
      </c>
      <c r="L54" s="338">
        <f>'[3]Salários YTD'!L54</f>
        <v>0</v>
      </c>
      <c r="M54" s="338">
        <f>'[3]Salários YTD'!M54</f>
        <v>0</v>
      </c>
      <c r="N54" s="338">
        <f>'[3]Salários YTD'!N54</f>
        <v>0</v>
      </c>
      <c r="O54" s="338">
        <f>'[3]Salários YTD'!O54</f>
        <v>0</v>
      </c>
      <c r="P54" s="338">
        <f>'[3]Salários YTD'!P54</f>
        <v>0</v>
      </c>
      <c r="Q54" s="349">
        <f t="shared" si="1"/>
        <v>0</v>
      </c>
    </row>
    <row r="55" spans="4:17" hidden="1" outlineLevel="1">
      <c r="D55" s="350" t="s">
        <v>344</v>
      </c>
      <c r="E55" s="338">
        <f>'[3]Salários YTD'!E55</f>
        <v>822.58</v>
      </c>
      <c r="F55" s="338">
        <f>'[3]Salários YTD'!F55</f>
        <v>1500</v>
      </c>
      <c r="G55" s="338">
        <f>'[3]Salários YTD'!G55</f>
        <v>1500</v>
      </c>
      <c r="H55" s="338">
        <f>'[3]Salários YTD'!H55</f>
        <v>1500</v>
      </c>
      <c r="I55" s="338">
        <f>'[3]Salários YTD'!I55</f>
        <v>1500</v>
      </c>
      <c r="J55" s="338">
        <f>'[3]Salários YTD'!J55</f>
        <v>1500</v>
      </c>
      <c r="K55" s="338">
        <f>'[3]Salários YTD'!K55</f>
        <v>1500</v>
      </c>
      <c r="L55" s="338">
        <f>'[3]Salários YTD'!L55</f>
        <v>1500</v>
      </c>
      <c r="M55" s="338">
        <f>'[3]Salários YTD'!M55</f>
        <v>0</v>
      </c>
      <c r="N55" s="338">
        <f>'[3]Salários YTD'!N55</f>
        <v>0</v>
      </c>
      <c r="O55" s="338">
        <f>'[3]Salários YTD'!O55</f>
        <v>0</v>
      </c>
      <c r="P55" s="338">
        <f>'[3]Salários YTD'!P55</f>
        <v>0</v>
      </c>
      <c r="Q55" s="349">
        <f t="shared" si="1"/>
        <v>11322.58</v>
      </c>
    </row>
    <row r="56" spans="4:17" hidden="1" outlineLevel="1">
      <c r="D56" s="350" t="s">
        <v>200</v>
      </c>
      <c r="E56" s="338">
        <f>'[3]Salários YTD'!E56</f>
        <v>99</v>
      </c>
      <c r="F56" s="338">
        <f>'[3]Salários YTD'!F56</f>
        <v>187</v>
      </c>
      <c r="G56" s="338">
        <f>'[3]Salários YTD'!G56</f>
        <v>220</v>
      </c>
      <c r="H56" s="338">
        <f>'[3]Salários YTD'!H56</f>
        <v>220</v>
      </c>
      <c r="I56" s="338">
        <f>'[3]Salários YTD'!I56</f>
        <v>220</v>
      </c>
      <c r="J56" s="338">
        <f>'[3]Salários YTD'!J56</f>
        <v>231</v>
      </c>
      <c r="K56" s="338">
        <f>'[3]Salários YTD'!K56</f>
        <v>253</v>
      </c>
      <c r="L56" s="338">
        <f>'[3]Salários YTD'!L56</f>
        <v>231</v>
      </c>
      <c r="M56" s="338">
        <f>'[3]Salários YTD'!M56</f>
        <v>0</v>
      </c>
      <c r="N56" s="338">
        <f>'[3]Salários YTD'!N56</f>
        <v>0</v>
      </c>
      <c r="O56" s="338">
        <f>'[3]Salários YTD'!O56</f>
        <v>0</v>
      </c>
      <c r="P56" s="338">
        <f>'[3]Salários YTD'!P56</f>
        <v>0</v>
      </c>
      <c r="Q56" s="349">
        <f t="shared" si="1"/>
        <v>1661</v>
      </c>
    </row>
    <row r="57" spans="4:17" hidden="1" outlineLevel="1">
      <c r="D57" s="350" t="s">
        <v>632</v>
      </c>
      <c r="E57" s="338">
        <f>'[3]Salários YTD'!E57</f>
        <v>0</v>
      </c>
      <c r="F57" s="338">
        <f>'[3]Salários YTD'!F57</f>
        <v>0</v>
      </c>
      <c r="G57" s="338">
        <f>'[3]Salários YTD'!G57</f>
        <v>0</v>
      </c>
      <c r="H57" s="338">
        <f>'[3]Salários YTD'!H57</f>
        <v>0</v>
      </c>
      <c r="I57" s="338">
        <f>'[3]Salários YTD'!I57</f>
        <v>0</v>
      </c>
      <c r="J57" s="338">
        <f>'[3]Salários YTD'!J57</f>
        <v>0</v>
      </c>
      <c r="K57" s="338">
        <f>'[3]Salários YTD'!K57</f>
        <v>0</v>
      </c>
      <c r="L57" s="338">
        <f>'[3]Salários YTD'!L57</f>
        <v>0</v>
      </c>
      <c r="M57" s="338">
        <f>'[3]Salários YTD'!M57</f>
        <v>0</v>
      </c>
      <c r="N57" s="338">
        <f>'[3]Salários YTD'!N57</f>
        <v>0</v>
      </c>
      <c r="O57" s="338">
        <f>'[3]Salários YTD'!O57</f>
        <v>0</v>
      </c>
      <c r="P57" s="338">
        <f>'[3]Salários YTD'!P57</f>
        <v>0</v>
      </c>
      <c r="Q57" s="349">
        <f t="shared" si="1"/>
        <v>0</v>
      </c>
    </row>
    <row r="58" spans="4:17" collapsed="1">
      <c r="D58" s="339" t="s">
        <v>150</v>
      </c>
      <c r="E58" s="346">
        <f t="shared" ref="E58:P58" si="38">E6+E14+E23+E31+E39+E48+E53</f>
        <v>22982.780000000002</v>
      </c>
      <c r="F58" s="346">
        <f t="shared" si="38"/>
        <v>29791.79</v>
      </c>
      <c r="G58" s="346">
        <f t="shared" si="38"/>
        <v>25051.820000000003</v>
      </c>
      <c r="H58" s="346">
        <f t="shared" si="38"/>
        <v>25808.79</v>
      </c>
      <c r="I58" s="346">
        <f t="shared" si="38"/>
        <v>26410.030000000002</v>
      </c>
      <c r="J58" s="346">
        <f t="shared" si="38"/>
        <v>26171.609999999997</v>
      </c>
      <c r="K58" s="346">
        <f t="shared" si="38"/>
        <v>28531.149999999998</v>
      </c>
      <c r="L58" s="346">
        <f t="shared" si="38"/>
        <v>17482.489999999998</v>
      </c>
      <c r="M58" s="346">
        <f t="shared" si="38"/>
        <v>16592.870000000003</v>
      </c>
      <c r="N58" s="346">
        <f t="shared" si="38"/>
        <v>16592.870000000003</v>
      </c>
      <c r="O58" s="346">
        <f t="shared" si="38"/>
        <v>22867.870000000003</v>
      </c>
      <c r="P58" s="346">
        <f t="shared" si="38"/>
        <v>22867.870000000003</v>
      </c>
      <c r="Q58" s="347">
        <f>SUM(E58:P58)</f>
        <v>281151.94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6"/>
  <sheetViews>
    <sheetView topLeftCell="A23" zoomScaleNormal="100" workbookViewId="0">
      <selection activeCell="B54" sqref="B54:B57"/>
    </sheetView>
  </sheetViews>
  <sheetFormatPr baseColWidth="10" defaultColWidth="8.83203125" defaultRowHeight="15"/>
  <cols>
    <col min="2" max="2" width="13.5" customWidth="1"/>
    <col min="3" max="3" width="12.6640625" customWidth="1"/>
    <col min="4" max="4" width="13.5" customWidth="1"/>
    <col min="5" max="8" width="11.5" customWidth="1"/>
    <col min="9" max="9" width="12.5" customWidth="1"/>
    <col min="11" max="11" width="14.5" customWidth="1"/>
    <col min="12" max="12" width="16.83203125" customWidth="1"/>
    <col min="13" max="13" width="12.1640625" customWidth="1"/>
    <col min="14" max="14" width="10.5" customWidth="1"/>
    <col min="15" max="15" width="11.5" customWidth="1"/>
    <col min="16" max="16" width="14.33203125" customWidth="1"/>
    <col min="17" max="17" width="9.33203125" customWidth="1"/>
  </cols>
  <sheetData>
    <row r="1" spans="1:9" ht="15" customHeight="1">
      <c r="A1" s="403" t="s">
        <v>191</v>
      </c>
      <c r="B1" s="403"/>
      <c r="C1" s="403"/>
      <c r="D1" s="403"/>
      <c r="E1" s="403"/>
      <c r="F1" s="403"/>
      <c r="G1" s="403"/>
      <c r="H1" s="403"/>
      <c r="I1" s="403"/>
    </row>
    <row r="2" spans="1:9" ht="15" customHeight="1">
      <c r="A2" s="114"/>
      <c r="B2" s="115"/>
      <c r="C2" s="115" t="s">
        <v>192</v>
      </c>
      <c r="D2" s="115" t="s">
        <v>193</v>
      </c>
      <c r="E2" s="115" t="s">
        <v>194</v>
      </c>
      <c r="F2" s="115" t="s">
        <v>147</v>
      </c>
      <c r="G2" s="115" t="s">
        <v>195</v>
      </c>
      <c r="H2" s="115" t="s">
        <v>196</v>
      </c>
      <c r="I2" s="115" t="s">
        <v>150</v>
      </c>
    </row>
    <row r="3" spans="1:9" ht="15" customHeight="1">
      <c r="A3" s="404" t="s">
        <v>197</v>
      </c>
      <c r="B3" s="116" t="s">
        <v>198</v>
      </c>
      <c r="C3" s="117"/>
      <c r="D3" s="117">
        <v>4983.72</v>
      </c>
      <c r="E3" s="117">
        <v>3881.15</v>
      </c>
      <c r="F3" s="117"/>
      <c r="G3" s="117"/>
      <c r="H3" s="117"/>
      <c r="I3" s="116">
        <f t="shared" ref="I3:I34" si="0">SUM(C3:H3)</f>
        <v>8864.8700000000008</v>
      </c>
    </row>
    <row r="4" spans="1:9" ht="15" customHeight="1">
      <c r="A4" s="404"/>
      <c r="B4" s="116" t="s">
        <v>199</v>
      </c>
      <c r="C4" s="117"/>
      <c r="D4" s="117"/>
      <c r="E4" s="117">
        <f>806.92+205.37</f>
        <v>1012.29</v>
      </c>
      <c r="F4" s="117"/>
      <c r="G4" s="117"/>
      <c r="H4" s="117"/>
      <c r="I4" s="116">
        <f t="shared" si="0"/>
        <v>1012.29</v>
      </c>
    </row>
    <row r="5" spans="1:9" ht="15" customHeight="1">
      <c r="A5" s="404"/>
      <c r="B5" s="116" t="s">
        <v>200</v>
      </c>
      <c r="C5" s="117"/>
      <c r="D5" s="117"/>
      <c r="E5" s="117">
        <v>242</v>
      </c>
      <c r="F5" s="117"/>
      <c r="G5" s="117"/>
      <c r="H5" s="117"/>
      <c r="I5" s="116">
        <f t="shared" si="0"/>
        <v>242</v>
      </c>
    </row>
    <row r="6" spans="1:9" ht="15" customHeight="1">
      <c r="A6" s="404"/>
      <c r="B6" s="116" t="s">
        <v>201</v>
      </c>
      <c r="C6" s="117"/>
      <c r="D6" s="117"/>
      <c r="E6" s="117">
        <v>28.15</v>
      </c>
      <c r="F6" s="117"/>
      <c r="G6" s="117"/>
      <c r="H6" s="117"/>
      <c r="I6" s="116">
        <f t="shared" si="0"/>
        <v>28.15</v>
      </c>
    </row>
    <row r="7" spans="1:9" ht="15" customHeight="1">
      <c r="A7" s="404"/>
      <c r="B7" s="116" t="s">
        <v>25</v>
      </c>
      <c r="C7" s="117"/>
      <c r="D7" s="117"/>
      <c r="E7" s="117">
        <v>298.24</v>
      </c>
      <c r="F7" s="117"/>
      <c r="G7" s="117"/>
      <c r="H7" s="117"/>
      <c r="I7" s="116">
        <f t="shared" si="0"/>
        <v>298.24</v>
      </c>
    </row>
    <row r="8" spans="1:9" ht="15" customHeight="1">
      <c r="A8" s="404" t="s">
        <v>202</v>
      </c>
      <c r="B8" s="116" t="s">
        <v>198</v>
      </c>
      <c r="C8" s="117"/>
      <c r="D8" s="117">
        <v>4570.1499999999996</v>
      </c>
      <c r="E8" s="117">
        <v>3881.15</v>
      </c>
      <c r="F8" s="117"/>
      <c r="G8" s="117">
        <v>865</v>
      </c>
      <c r="H8" s="117"/>
      <c r="I8" s="116">
        <f t="shared" si="0"/>
        <v>9316.2999999999993</v>
      </c>
    </row>
    <row r="9" spans="1:9" ht="15" customHeight="1">
      <c r="A9" s="404"/>
      <c r="B9" s="116" t="s">
        <v>199</v>
      </c>
      <c r="C9" s="117"/>
      <c r="D9" s="117"/>
      <c r="E9" s="117">
        <v>1012.29</v>
      </c>
      <c r="F9" s="117"/>
      <c r="G9" s="117"/>
      <c r="H9" s="117"/>
      <c r="I9" s="116">
        <f t="shared" si="0"/>
        <v>1012.29</v>
      </c>
    </row>
    <row r="10" spans="1:9" ht="15" customHeight="1">
      <c r="A10" s="404"/>
      <c r="B10" s="116" t="s">
        <v>200</v>
      </c>
      <c r="C10" s="117"/>
      <c r="D10" s="117"/>
      <c r="E10" s="117">
        <v>220</v>
      </c>
      <c r="F10" s="117"/>
      <c r="G10" s="117"/>
      <c r="H10" s="117"/>
      <c r="I10" s="116">
        <f t="shared" si="0"/>
        <v>220</v>
      </c>
    </row>
    <row r="11" spans="1:9" ht="15" customHeight="1">
      <c r="A11" s="404"/>
      <c r="B11" s="116" t="s">
        <v>201</v>
      </c>
      <c r="C11" s="117"/>
      <c r="D11" s="117"/>
      <c r="E11" s="117">
        <v>28.15</v>
      </c>
      <c r="F11" s="117"/>
      <c r="G11" s="117"/>
      <c r="H11" s="117"/>
      <c r="I11" s="116">
        <f t="shared" si="0"/>
        <v>28.15</v>
      </c>
    </row>
    <row r="12" spans="1:9" ht="15" customHeight="1">
      <c r="A12" s="404"/>
      <c r="B12" s="116" t="s">
        <v>25</v>
      </c>
      <c r="C12" s="117"/>
      <c r="D12" s="117"/>
      <c r="E12" s="117">
        <v>298.24</v>
      </c>
      <c r="F12" s="117"/>
      <c r="G12" s="117"/>
      <c r="H12" s="117"/>
      <c r="I12" s="116">
        <f t="shared" si="0"/>
        <v>298.24</v>
      </c>
    </row>
    <row r="13" spans="1:9" ht="15" customHeight="1">
      <c r="A13" s="404" t="s">
        <v>203</v>
      </c>
      <c r="B13" s="116" t="s">
        <v>198</v>
      </c>
      <c r="C13" s="117"/>
      <c r="D13" s="117">
        <v>4755.93</v>
      </c>
      <c r="E13" s="117">
        <v>2231.17</v>
      </c>
      <c r="F13" s="117"/>
      <c r="G13" s="117">
        <v>1722.77</v>
      </c>
      <c r="H13" s="117"/>
      <c r="I13" s="116">
        <f t="shared" si="0"/>
        <v>8709.8700000000008</v>
      </c>
    </row>
    <row r="14" spans="1:9" ht="15" customHeight="1">
      <c r="A14" s="404"/>
      <c r="B14" s="116" t="s">
        <v>199</v>
      </c>
      <c r="C14" s="117"/>
      <c r="D14" s="117"/>
      <c r="E14" s="117">
        <v>1012.29</v>
      </c>
      <c r="F14" s="117"/>
      <c r="G14" s="117">
        <v>861</v>
      </c>
      <c r="H14" s="117"/>
      <c r="I14" s="116">
        <f t="shared" si="0"/>
        <v>1873.29</v>
      </c>
    </row>
    <row r="15" spans="1:9" ht="15" customHeight="1">
      <c r="A15" s="404"/>
      <c r="B15" s="116" t="s">
        <v>200</v>
      </c>
      <c r="C15" s="117"/>
      <c r="D15" s="117"/>
      <c r="E15" s="117">
        <v>231</v>
      </c>
      <c r="F15" s="117"/>
      <c r="G15" s="117"/>
      <c r="H15" s="117"/>
      <c r="I15" s="116">
        <f t="shared" si="0"/>
        <v>231</v>
      </c>
    </row>
    <row r="16" spans="1:9" ht="15" customHeight="1">
      <c r="A16" s="404"/>
      <c r="B16" s="116" t="s">
        <v>201</v>
      </c>
      <c r="C16" s="117"/>
      <c r="D16" s="117"/>
      <c r="E16" s="117">
        <v>28.15</v>
      </c>
      <c r="F16" s="117"/>
      <c r="G16" s="117"/>
      <c r="H16" s="117"/>
      <c r="I16" s="116">
        <f t="shared" si="0"/>
        <v>28.15</v>
      </c>
    </row>
    <row r="17" spans="1:9" ht="15" customHeight="1">
      <c r="A17" s="404"/>
      <c r="B17" s="116" t="s">
        <v>25</v>
      </c>
      <c r="C17" s="117"/>
      <c r="D17" s="117"/>
      <c r="E17" s="117">
        <v>298.24</v>
      </c>
      <c r="F17" s="117"/>
      <c r="G17" s="117"/>
      <c r="H17" s="117"/>
      <c r="I17" s="116">
        <f t="shared" si="0"/>
        <v>298.24</v>
      </c>
    </row>
    <row r="18" spans="1:9" ht="15" customHeight="1">
      <c r="A18" s="404" t="s">
        <v>190</v>
      </c>
      <c r="B18" s="116" t="s">
        <v>198</v>
      </c>
      <c r="C18" s="117"/>
      <c r="D18" s="117">
        <v>5275.41</v>
      </c>
      <c r="E18" s="117">
        <v>3881.15</v>
      </c>
      <c r="F18" s="117">
        <v>461.34</v>
      </c>
      <c r="G18" s="117">
        <v>1722.77</v>
      </c>
      <c r="H18" s="117"/>
      <c r="I18" s="116">
        <f t="shared" si="0"/>
        <v>11340.67</v>
      </c>
    </row>
    <row r="19" spans="1:9" ht="15" customHeight="1">
      <c r="A19" s="404"/>
      <c r="B19" s="116" t="s">
        <v>199</v>
      </c>
      <c r="C19" s="117"/>
      <c r="D19" s="117"/>
      <c r="E19" s="117">
        <v>1012.29</v>
      </c>
      <c r="F19" s="117"/>
      <c r="G19" s="117">
        <v>861</v>
      </c>
      <c r="H19" s="117"/>
      <c r="I19" s="116">
        <f t="shared" si="0"/>
        <v>1873.29</v>
      </c>
    </row>
    <row r="20" spans="1:9" ht="15" customHeight="1">
      <c r="A20" s="404"/>
      <c r="B20" s="116" t="s">
        <v>200</v>
      </c>
      <c r="C20" s="117"/>
      <c r="D20" s="117"/>
      <c r="E20" s="117">
        <v>242</v>
      </c>
      <c r="F20" s="117"/>
      <c r="G20" s="117"/>
      <c r="H20" s="117"/>
      <c r="I20" s="116">
        <f t="shared" si="0"/>
        <v>242</v>
      </c>
    </row>
    <row r="21" spans="1:9" ht="15" customHeight="1">
      <c r="A21" s="404"/>
      <c r="B21" s="116" t="s">
        <v>201</v>
      </c>
      <c r="C21" s="117"/>
      <c r="D21" s="117"/>
      <c r="E21" s="117">
        <v>28.15</v>
      </c>
      <c r="F21" s="117"/>
      <c r="G21" s="117"/>
      <c r="H21" s="117"/>
      <c r="I21" s="116">
        <f t="shared" si="0"/>
        <v>28.15</v>
      </c>
    </row>
    <row r="22" spans="1:9" ht="15" customHeight="1">
      <c r="A22" s="404"/>
      <c r="B22" s="116" t="s">
        <v>25</v>
      </c>
      <c r="C22" s="117"/>
      <c r="D22" s="117"/>
      <c r="E22" s="117">
        <v>298.24</v>
      </c>
      <c r="F22" s="117"/>
      <c r="G22" s="117"/>
      <c r="H22" s="117"/>
      <c r="I22" s="116">
        <f t="shared" si="0"/>
        <v>298.24</v>
      </c>
    </row>
    <row r="23" spans="1:9" ht="15" customHeight="1">
      <c r="A23" s="404" t="s">
        <v>204</v>
      </c>
      <c r="B23" s="116" t="s">
        <v>198</v>
      </c>
      <c r="C23" s="117"/>
      <c r="D23" s="117">
        <v>5259.97</v>
      </c>
      <c r="E23" s="117">
        <v>3903.41</v>
      </c>
      <c r="F23" s="117">
        <v>2730.6</v>
      </c>
      <c r="G23" s="117">
        <v>1722.77</v>
      </c>
      <c r="H23" s="117"/>
      <c r="I23" s="116">
        <f t="shared" si="0"/>
        <v>13616.750000000002</v>
      </c>
    </row>
    <row r="24" spans="1:9" ht="15" customHeight="1">
      <c r="A24" s="404"/>
      <c r="B24" s="116" t="s">
        <v>199</v>
      </c>
      <c r="C24" s="117"/>
      <c r="D24" s="117"/>
      <c r="E24" s="117">
        <v>1012.29</v>
      </c>
      <c r="F24" s="117">
        <v>756</v>
      </c>
      <c r="G24" s="117">
        <v>861</v>
      </c>
      <c r="H24" s="117"/>
      <c r="I24" s="116">
        <f t="shared" si="0"/>
        <v>2629.29</v>
      </c>
    </row>
    <row r="25" spans="1:9" ht="15" customHeight="1">
      <c r="A25" s="404"/>
      <c r="B25" s="116" t="s">
        <v>200</v>
      </c>
      <c r="C25" s="117"/>
      <c r="D25" s="117"/>
      <c r="E25" s="117">
        <v>231</v>
      </c>
      <c r="F25" s="117">
        <v>231</v>
      </c>
      <c r="G25" s="117"/>
      <c r="H25" s="117"/>
      <c r="I25" s="116">
        <f t="shared" si="0"/>
        <v>462</v>
      </c>
    </row>
    <row r="26" spans="1:9" ht="15" customHeight="1">
      <c r="A26" s="404"/>
      <c r="B26" s="116" t="s">
        <v>201</v>
      </c>
      <c r="C26" s="117"/>
      <c r="D26" s="117"/>
      <c r="E26" s="117">
        <v>28.15</v>
      </c>
      <c r="F26" s="117"/>
      <c r="G26" s="117"/>
      <c r="H26" s="117"/>
      <c r="I26" s="116">
        <f t="shared" si="0"/>
        <v>28.15</v>
      </c>
    </row>
    <row r="27" spans="1:9" ht="15" customHeight="1">
      <c r="A27" s="404"/>
      <c r="B27" s="116" t="s">
        <v>25</v>
      </c>
      <c r="C27" s="117"/>
      <c r="D27" s="117"/>
      <c r="E27" s="117">
        <v>298.24</v>
      </c>
      <c r="F27" s="117"/>
      <c r="G27" s="117"/>
      <c r="H27" s="117"/>
      <c r="I27" s="116">
        <f t="shared" si="0"/>
        <v>298.24</v>
      </c>
    </row>
    <row r="28" spans="1:9" ht="15" customHeight="1">
      <c r="A28" s="404" t="s">
        <v>205</v>
      </c>
      <c r="B28" s="116" t="s">
        <v>198</v>
      </c>
      <c r="C28" s="117"/>
      <c r="D28" s="117">
        <v>5496.48</v>
      </c>
      <c r="E28" s="117">
        <v>3903.41</v>
      </c>
      <c r="F28" s="117">
        <v>2730.6</v>
      </c>
      <c r="G28" s="117">
        <v>1722.77</v>
      </c>
      <c r="H28" s="117"/>
      <c r="I28" s="116">
        <f t="shared" si="0"/>
        <v>13853.26</v>
      </c>
    </row>
    <row r="29" spans="1:9" ht="15" customHeight="1">
      <c r="A29" s="404"/>
      <c r="B29" s="116" t="s">
        <v>199</v>
      </c>
      <c r="C29" s="117"/>
      <c r="D29" s="117"/>
      <c r="E29" s="117">
        <v>1012.29</v>
      </c>
      <c r="F29" s="117">
        <v>767.82</v>
      </c>
      <c r="G29" s="117">
        <v>861</v>
      </c>
      <c r="H29" s="117"/>
      <c r="I29" s="116">
        <f t="shared" si="0"/>
        <v>2641.11</v>
      </c>
    </row>
    <row r="30" spans="1:9" ht="15" customHeight="1">
      <c r="A30" s="404"/>
      <c r="B30" s="116" t="s">
        <v>200</v>
      </c>
      <c r="C30" s="117"/>
      <c r="D30" s="117"/>
      <c r="E30" s="117">
        <v>220</v>
      </c>
      <c r="F30" s="117">
        <v>220</v>
      </c>
      <c r="G30" s="117"/>
      <c r="H30" s="117"/>
      <c r="I30" s="116">
        <f t="shared" si="0"/>
        <v>440</v>
      </c>
    </row>
    <row r="31" spans="1:9" ht="15" customHeight="1">
      <c r="A31" s="404"/>
      <c r="B31" s="116" t="s">
        <v>201</v>
      </c>
      <c r="C31" s="117"/>
      <c r="D31" s="117"/>
      <c r="E31" s="117">
        <v>28.15</v>
      </c>
      <c r="F31" s="117"/>
      <c r="G31" s="117"/>
      <c r="H31" s="117"/>
      <c r="I31" s="116">
        <f t="shared" si="0"/>
        <v>28.15</v>
      </c>
    </row>
    <row r="32" spans="1:9" ht="15" customHeight="1">
      <c r="A32" s="404"/>
      <c r="B32" s="116" t="s">
        <v>25</v>
      </c>
      <c r="C32" s="117"/>
      <c r="D32" s="117"/>
      <c r="E32" s="117">
        <v>298.24</v>
      </c>
      <c r="F32" s="117"/>
      <c r="G32" s="117"/>
      <c r="H32" s="117"/>
      <c r="I32" s="116">
        <f t="shared" si="0"/>
        <v>298.24</v>
      </c>
    </row>
    <row r="33" spans="1:9" ht="15" customHeight="1">
      <c r="A33" s="404" t="s">
        <v>206</v>
      </c>
      <c r="B33" s="116" t="s">
        <v>198</v>
      </c>
      <c r="C33" s="117"/>
      <c r="D33" s="117">
        <v>5606.02</v>
      </c>
      <c r="E33" s="117">
        <v>4656.7700000000004</v>
      </c>
      <c r="F33" s="117">
        <v>2730.6</v>
      </c>
      <c r="G33" s="117">
        <v>1722.77</v>
      </c>
      <c r="H33" s="117"/>
      <c r="I33" s="116">
        <f t="shared" si="0"/>
        <v>14716.160000000002</v>
      </c>
    </row>
    <row r="34" spans="1:9" ht="15" customHeight="1">
      <c r="A34" s="404"/>
      <c r="B34" s="116" t="s">
        <v>199</v>
      </c>
      <c r="C34" s="117"/>
      <c r="D34" s="117"/>
      <c r="E34" s="117">
        <v>1012.29</v>
      </c>
      <c r="F34" s="117">
        <v>762.92</v>
      </c>
      <c r="G34" s="117">
        <v>865.13</v>
      </c>
      <c r="H34" s="117"/>
      <c r="I34" s="116">
        <f t="shared" si="0"/>
        <v>2640.34</v>
      </c>
    </row>
    <row r="35" spans="1:9" ht="15" customHeight="1">
      <c r="A35" s="404"/>
      <c r="B35" s="116" t="s">
        <v>200</v>
      </c>
      <c r="C35" s="117"/>
      <c r="D35" s="117"/>
      <c r="E35" s="117">
        <v>253</v>
      </c>
      <c r="F35" s="117">
        <v>253</v>
      </c>
      <c r="G35" s="117"/>
      <c r="H35" s="117"/>
      <c r="I35" s="116">
        <f t="shared" ref="I35:I57" si="1">SUM(C35:H35)</f>
        <v>506</v>
      </c>
    </row>
    <row r="36" spans="1:9" ht="15" customHeight="1">
      <c r="A36" s="404"/>
      <c r="B36" s="116" t="s">
        <v>201</v>
      </c>
      <c r="C36" s="117"/>
      <c r="D36" s="117"/>
      <c r="E36" s="117">
        <v>28.15</v>
      </c>
      <c r="F36" s="117"/>
      <c r="G36" s="117"/>
      <c r="H36" s="117"/>
      <c r="I36" s="116">
        <f t="shared" si="1"/>
        <v>28.15</v>
      </c>
    </row>
    <row r="37" spans="1:9" ht="15" customHeight="1">
      <c r="A37" s="404"/>
      <c r="B37" s="116" t="s">
        <v>25</v>
      </c>
      <c r="C37" s="117"/>
      <c r="D37" s="117"/>
      <c r="E37" s="117">
        <v>314.12</v>
      </c>
      <c r="F37" s="117"/>
      <c r="G37" s="117"/>
      <c r="H37" s="117"/>
      <c r="I37" s="116">
        <f t="shared" si="1"/>
        <v>314.12</v>
      </c>
    </row>
    <row r="38" spans="1:9" ht="15" customHeight="1">
      <c r="A38" s="404" t="s">
        <v>207</v>
      </c>
      <c r="B38" s="116" t="s">
        <v>198</v>
      </c>
      <c r="C38" s="117"/>
      <c r="D38" s="117">
        <v>5814.92</v>
      </c>
      <c r="E38" s="117">
        <v>4757.93</v>
      </c>
      <c r="F38" s="117">
        <v>2730.6</v>
      </c>
      <c r="G38" s="117">
        <v>1722.77</v>
      </c>
      <c r="H38" s="117">
        <v>1407.94</v>
      </c>
      <c r="I38" s="116">
        <f t="shared" si="1"/>
        <v>16434.16</v>
      </c>
    </row>
    <row r="39" spans="1:9" ht="15" customHeight="1">
      <c r="A39" s="404"/>
      <c r="B39" s="116" t="s">
        <v>199</v>
      </c>
      <c r="C39" s="117"/>
      <c r="D39" s="117"/>
      <c r="E39" s="117">
        <v>1012.29</v>
      </c>
      <c r="F39" s="117">
        <v>763.3</v>
      </c>
      <c r="G39" s="117">
        <v>861.01</v>
      </c>
      <c r="H39" s="117">
        <v>450</v>
      </c>
      <c r="I39" s="116">
        <f t="shared" si="1"/>
        <v>3086.6</v>
      </c>
    </row>
    <row r="40" spans="1:9" ht="15" customHeight="1">
      <c r="A40" s="404"/>
      <c r="B40" s="116" t="s">
        <v>200</v>
      </c>
      <c r="C40" s="117"/>
      <c r="D40" s="117"/>
      <c r="E40" s="117">
        <v>231</v>
      </c>
      <c r="F40" s="117">
        <v>231</v>
      </c>
      <c r="G40" s="117"/>
      <c r="H40" s="117">
        <v>165</v>
      </c>
      <c r="I40" s="116">
        <f t="shared" si="1"/>
        <v>627</v>
      </c>
    </row>
    <row r="41" spans="1:9" ht="15" customHeight="1">
      <c r="A41" s="404"/>
      <c r="B41" s="116" t="s">
        <v>201</v>
      </c>
      <c r="C41" s="117"/>
      <c r="D41" s="117"/>
      <c r="E41" s="117">
        <v>28.15</v>
      </c>
      <c r="F41" s="117"/>
      <c r="G41" s="117"/>
      <c r="H41" s="117"/>
      <c r="I41" s="116">
        <f t="shared" si="1"/>
        <v>28.15</v>
      </c>
    </row>
    <row r="42" spans="1:9" ht="15" customHeight="1">
      <c r="A42" s="404"/>
      <c r="B42" s="116" t="s">
        <v>25</v>
      </c>
      <c r="C42" s="117"/>
      <c r="D42" s="117"/>
      <c r="E42" s="117">
        <v>314.12</v>
      </c>
      <c r="F42" s="117"/>
      <c r="G42" s="117"/>
      <c r="H42" s="117"/>
      <c r="I42" s="116">
        <f t="shared" si="1"/>
        <v>314.12</v>
      </c>
    </row>
    <row r="43" spans="1:9" ht="15" customHeight="1">
      <c r="A43" s="404" t="s">
        <v>208</v>
      </c>
      <c r="B43" s="116" t="s">
        <v>198</v>
      </c>
      <c r="C43" s="117"/>
      <c r="D43" s="117">
        <v>9991.15</v>
      </c>
      <c r="E43" s="117">
        <v>3769.78</v>
      </c>
      <c r="F43" s="117">
        <v>2730.6</v>
      </c>
      <c r="G43" s="117">
        <v>1722.77</v>
      </c>
      <c r="H43" s="117">
        <v>1897.27</v>
      </c>
      <c r="I43" s="116">
        <f t="shared" si="1"/>
        <v>20111.57</v>
      </c>
    </row>
    <row r="44" spans="1:9" ht="15" customHeight="1">
      <c r="A44" s="404"/>
      <c r="B44" s="116" t="s">
        <v>199</v>
      </c>
      <c r="C44" s="117"/>
      <c r="D44" s="117"/>
      <c r="E44" s="117">
        <v>1012.29</v>
      </c>
      <c r="F44" s="117">
        <f>763.3+47</f>
        <v>810.3</v>
      </c>
      <c r="G44" s="117">
        <v>881</v>
      </c>
      <c r="H44" s="117">
        <v>803</v>
      </c>
      <c r="I44" s="116">
        <f t="shared" si="1"/>
        <v>3506.59</v>
      </c>
    </row>
    <row r="45" spans="1:9" ht="15" customHeight="1">
      <c r="A45" s="404"/>
      <c r="B45" s="116" t="s">
        <v>200</v>
      </c>
      <c r="C45" s="117"/>
      <c r="D45" s="117"/>
      <c r="E45" s="117"/>
      <c r="F45" s="117">
        <v>242</v>
      </c>
      <c r="G45" s="117">
        <v>184</v>
      </c>
      <c r="H45" s="117">
        <v>242</v>
      </c>
      <c r="I45" s="116">
        <f t="shared" si="1"/>
        <v>668</v>
      </c>
    </row>
    <row r="46" spans="1:9" ht="15" customHeight="1">
      <c r="A46" s="404"/>
      <c r="B46" s="116" t="s">
        <v>201</v>
      </c>
      <c r="C46" s="117"/>
      <c r="D46" s="117"/>
      <c r="E46" s="117">
        <v>28.15</v>
      </c>
      <c r="F46" s="117">
        <v>28.15</v>
      </c>
      <c r="G46" s="117">
        <v>84.45</v>
      </c>
      <c r="H46" s="117"/>
      <c r="I46" s="116">
        <f t="shared" si="1"/>
        <v>140.75</v>
      </c>
    </row>
    <row r="47" spans="1:9" ht="15" customHeight="1">
      <c r="A47" s="404"/>
      <c r="B47" s="116" t="s">
        <v>25</v>
      </c>
      <c r="C47" s="117"/>
      <c r="D47" s="117"/>
      <c r="E47" s="117">
        <v>314.12</v>
      </c>
      <c r="F47" s="117"/>
      <c r="G47" s="117"/>
      <c r="H47" s="117"/>
      <c r="I47" s="116">
        <f t="shared" si="1"/>
        <v>314.12</v>
      </c>
    </row>
    <row r="48" spans="1:9" ht="15" customHeight="1">
      <c r="A48" s="404" t="s">
        <v>209</v>
      </c>
      <c r="B48" s="116" t="s">
        <v>198</v>
      </c>
      <c r="C48" s="117"/>
      <c r="D48" s="117">
        <v>7544.83</v>
      </c>
      <c r="E48" s="117">
        <v>4390.78</v>
      </c>
      <c r="F48" s="117">
        <v>2730.6</v>
      </c>
      <c r="G48" s="117">
        <v>1722.77</v>
      </c>
      <c r="H48" s="117">
        <v>1946.97</v>
      </c>
      <c r="I48" s="116">
        <f t="shared" si="1"/>
        <v>18335.95</v>
      </c>
    </row>
    <row r="49" spans="1:9" ht="15" customHeight="1">
      <c r="A49" s="404"/>
      <c r="B49" s="116" t="s">
        <v>199</v>
      </c>
      <c r="C49" s="117"/>
      <c r="D49" s="117"/>
      <c r="E49" s="117">
        <v>1012.29</v>
      </c>
      <c r="F49" s="117">
        <v>846.8</v>
      </c>
      <c r="G49" s="117">
        <v>839.5</v>
      </c>
      <c r="H49" s="117">
        <v>843.63</v>
      </c>
      <c r="I49" s="116">
        <f t="shared" si="1"/>
        <v>3542.2200000000003</v>
      </c>
    </row>
    <row r="50" spans="1:9" ht="15" customHeight="1">
      <c r="A50" s="404"/>
      <c r="B50" s="116" t="s">
        <v>200</v>
      </c>
      <c r="C50" s="117"/>
      <c r="D50" s="117"/>
      <c r="E50" s="117"/>
      <c r="F50" s="117">
        <v>253</v>
      </c>
      <c r="G50" s="117">
        <v>253</v>
      </c>
      <c r="H50" s="117">
        <v>253</v>
      </c>
      <c r="I50" s="116">
        <f t="shared" si="1"/>
        <v>759</v>
      </c>
    </row>
    <row r="51" spans="1:9" ht="15" customHeight="1">
      <c r="A51" s="404"/>
      <c r="B51" s="116" t="s">
        <v>201</v>
      </c>
      <c r="C51" s="117"/>
      <c r="D51" s="117"/>
      <c r="E51" s="117">
        <v>28.15</v>
      </c>
      <c r="F51" s="117">
        <v>28.15</v>
      </c>
      <c r="G51" s="117">
        <v>84.45</v>
      </c>
      <c r="H51" s="117"/>
      <c r="I51" s="116">
        <f t="shared" si="1"/>
        <v>140.75</v>
      </c>
    </row>
    <row r="52" spans="1:9" ht="15" customHeight="1">
      <c r="A52" s="404"/>
      <c r="B52" s="116" t="s">
        <v>25</v>
      </c>
      <c r="C52" s="117"/>
      <c r="D52" s="117"/>
      <c r="E52" s="117">
        <v>314.12</v>
      </c>
      <c r="F52" s="117"/>
      <c r="G52" s="117"/>
      <c r="H52" s="117"/>
      <c r="I52" s="116">
        <f t="shared" si="1"/>
        <v>314.12</v>
      </c>
    </row>
    <row r="53" spans="1:9" ht="15" customHeight="1">
      <c r="A53" s="404" t="s">
        <v>210</v>
      </c>
      <c r="B53" s="116" t="s">
        <v>198</v>
      </c>
      <c r="C53" s="117">
        <f>146.67+317.17</f>
        <v>463.84000000000003</v>
      </c>
      <c r="D53" s="117">
        <v>5681.59</v>
      </c>
      <c r="E53" s="117">
        <v>4648.0600000000004</v>
      </c>
      <c r="F53" s="117">
        <v>2730.6</v>
      </c>
      <c r="G53" s="117">
        <v>1722.77</v>
      </c>
      <c r="H53" s="117">
        <v>2071.21</v>
      </c>
      <c r="I53" s="116">
        <f t="shared" si="1"/>
        <v>17318.070000000003</v>
      </c>
    </row>
    <row r="54" spans="1:9" ht="15" customHeight="1">
      <c r="A54" s="404"/>
      <c r="B54" s="116" t="s">
        <v>199</v>
      </c>
      <c r="C54" s="117">
        <v>182.5</v>
      </c>
      <c r="D54" s="117"/>
      <c r="E54" s="117">
        <v>1012.29</v>
      </c>
      <c r="F54" s="117">
        <v>700.8</v>
      </c>
      <c r="G54" s="117">
        <v>693.5</v>
      </c>
      <c r="H54" s="117">
        <v>693.5</v>
      </c>
      <c r="I54" s="116">
        <f t="shared" si="1"/>
        <v>3282.59</v>
      </c>
    </row>
    <row r="55" spans="1:9" ht="15" customHeight="1">
      <c r="A55" s="404"/>
      <c r="B55" s="116" t="s">
        <v>200</v>
      </c>
      <c r="C55" s="117">
        <v>55</v>
      </c>
      <c r="D55" s="117"/>
      <c r="E55" s="117"/>
      <c r="F55" s="117">
        <v>209</v>
      </c>
      <c r="G55" s="117">
        <v>209</v>
      </c>
      <c r="H55" s="117">
        <v>209</v>
      </c>
      <c r="I55" s="116">
        <f t="shared" si="1"/>
        <v>682</v>
      </c>
    </row>
    <row r="56" spans="1:9" ht="15" customHeight="1">
      <c r="A56" s="404"/>
      <c r="B56" s="116" t="s">
        <v>201</v>
      </c>
      <c r="C56" s="117">
        <v>0</v>
      </c>
      <c r="D56" s="117"/>
      <c r="E56" s="117">
        <v>28.15</v>
      </c>
      <c r="F56" s="117">
        <v>28.15</v>
      </c>
      <c r="G56" s="117">
        <v>84.45</v>
      </c>
      <c r="H56" s="117"/>
      <c r="I56" s="116">
        <f t="shared" si="1"/>
        <v>140.75</v>
      </c>
    </row>
    <row r="57" spans="1:9" ht="15" customHeight="1">
      <c r="A57" s="404"/>
      <c r="B57" s="116" t="s">
        <v>25</v>
      </c>
      <c r="C57" s="117">
        <v>0</v>
      </c>
      <c r="D57" s="117"/>
      <c r="E57" s="117">
        <v>314.12</v>
      </c>
      <c r="F57" s="117"/>
      <c r="G57" s="117"/>
      <c r="H57" s="117"/>
      <c r="I57" s="116">
        <f t="shared" si="1"/>
        <v>314.12</v>
      </c>
    </row>
    <row r="58" spans="1:9" ht="15" customHeight="1">
      <c r="A58" s="117"/>
      <c r="B58" s="118"/>
      <c r="C58" s="118">
        <f t="shared" ref="C58:I58" si="2">SUM(C3:C57)</f>
        <v>701.34</v>
      </c>
      <c r="D58" s="118">
        <f t="shared" si="2"/>
        <v>64980.17</v>
      </c>
      <c r="E58" s="118">
        <f t="shared" si="2"/>
        <v>60579.640000000029</v>
      </c>
      <c r="F58" s="118">
        <f t="shared" si="2"/>
        <v>26706.93</v>
      </c>
      <c r="G58" s="118">
        <f t="shared" si="2"/>
        <v>24853.420000000002</v>
      </c>
      <c r="H58" s="118">
        <f t="shared" si="2"/>
        <v>10982.52</v>
      </c>
      <c r="I58" s="118">
        <f t="shared" si="2"/>
        <v>188804.02</v>
      </c>
    </row>
    <row r="61" spans="1:9" ht="15" customHeight="1">
      <c r="C61" s="119" t="s">
        <v>192</v>
      </c>
      <c r="D61" s="119" t="s">
        <v>193</v>
      </c>
      <c r="E61" s="119" t="s">
        <v>194</v>
      </c>
      <c r="F61" s="119" t="s">
        <v>147</v>
      </c>
      <c r="G61" s="119" t="s">
        <v>195</v>
      </c>
      <c r="H61" s="119" t="s">
        <v>196</v>
      </c>
      <c r="I61" s="119" t="s">
        <v>150</v>
      </c>
    </row>
    <row r="62" spans="1:9" ht="15" customHeight="1">
      <c r="C62" s="5">
        <f>C58/1</f>
        <v>701.34</v>
      </c>
      <c r="D62" s="5">
        <f>D58/11</f>
        <v>5907.2881818181813</v>
      </c>
      <c r="E62" s="5">
        <f>E58/11</f>
        <v>5507.2400000000025</v>
      </c>
      <c r="F62" s="5">
        <f>F58/7</f>
        <v>3815.2757142857145</v>
      </c>
      <c r="G62" s="5">
        <f>G58/10</f>
        <v>2485.3420000000001</v>
      </c>
      <c r="H62" s="5">
        <f>H58/4</f>
        <v>2745.63</v>
      </c>
      <c r="I62" s="5">
        <f>I58/11</f>
        <v>17164.001818181816</v>
      </c>
    </row>
    <row r="63" spans="1:9" ht="15" customHeight="1">
      <c r="A63" s="120"/>
    </row>
    <row r="64" spans="1:9" ht="15" customHeight="1">
      <c r="A64" s="120"/>
    </row>
    <row r="65" spans="1:1" ht="15" customHeight="1">
      <c r="A65" s="120"/>
    </row>
    <row r="66" spans="1:1" ht="15" customHeight="1">
      <c r="A66" s="120"/>
    </row>
  </sheetData>
  <mergeCells count="12">
    <mergeCell ref="A48:A52"/>
    <mergeCell ref="A53:A57"/>
    <mergeCell ref="A23:A27"/>
    <mergeCell ref="A28:A32"/>
    <mergeCell ref="A33:A37"/>
    <mergeCell ref="A38:A42"/>
    <mergeCell ref="A43:A47"/>
    <mergeCell ref="A1:I1"/>
    <mergeCell ref="A3:A7"/>
    <mergeCell ref="A8:A12"/>
    <mergeCell ref="A13:A17"/>
    <mergeCell ref="A18:A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996-C27E-9244-A137-46C409C6AE91}">
  <dimension ref="A1:J24"/>
  <sheetViews>
    <sheetView zoomScale="125" zoomScaleNormal="164" workbookViewId="0">
      <selection activeCell="B4" sqref="B4"/>
    </sheetView>
  </sheetViews>
  <sheetFormatPr baseColWidth="10" defaultColWidth="8.6640625" defaultRowHeight="15"/>
  <cols>
    <col min="1" max="1" width="32" customWidth="1"/>
    <col min="2" max="7" width="15" customWidth="1"/>
    <col min="9" max="9" width="10.5" bestFit="1" customWidth="1"/>
  </cols>
  <sheetData>
    <row r="1" spans="1:10" ht="27.75" customHeight="1">
      <c r="A1" s="405" t="s">
        <v>690</v>
      </c>
      <c r="B1" s="405"/>
      <c r="C1" s="405"/>
      <c r="D1" s="405"/>
      <c r="E1" s="405"/>
      <c r="F1" s="405"/>
      <c r="G1" s="405"/>
      <c r="I1" s="367">
        <f ca="1">TODAY()</f>
        <v>46246</v>
      </c>
      <c r="J1" s="368">
        <f ca="1">YEAR(I1)</f>
        <v>2026</v>
      </c>
    </row>
    <row r="3" spans="1:10" ht="21.75" customHeight="1">
      <c r="A3" s="406" t="s">
        <v>691</v>
      </c>
      <c r="B3" s="406"/>
      <c r="C3" s="406"/>
    </row>
    <row r="4" spans="1:10" ht="18" customHeight="1">
      <c r="A4" s="351" t="s">
        <v>706</v>
      </c>
      <c r="B4" s="352">
        <f>Projeção!Q61</f>
        <v>958548.55179402558</v>
      </c>
    </row>
    <row r="5" spans="1:10" ht="18" customHeight="1">
      <c r="A5" s="351" t="s">
        <v>692</v>
      </c>
      <c r="B5" s="353">
        <v>0.25</v>
      </c>
    </row>
    <row r="6" spans="1:10" ht="18" customHeight="1">
      <c r="A6" s="351" t="s">
        <v>708</v>
      </c>
      <c r="B6" s="353">
        <v>0.3</v>
      </c>
    </row>
    <row r="7" spans="1:10" ht="18" customHeight="1">
      <c r="A7" s="351" t="s">
        <v>693</v>
      </c>
      <c r="B7" s="353">
        <v>0.05</v>
      </c>
    </row>
    <row r="8" spans="1:10" ht="18" customHeight="1">
      <c r="A8" s="351" t="s">
        <v>694</v>
      </c>
      <c r="B8" s="353">
        <f>Projeção!R61</f>
        <v>0.36135579006688573</v>
      </c>
    </row>
    <row r="10" spans="1:10" ht="21.75" customHeight="1">
      <c r="A10" s="406" t="s">
        <v>695</v>
      </c>
      <c r="B10" s="406"/>
      <c r="C10" s="406"/>
      <c r="D10" s="406"/>
      <c r="E10" s="406"/>
      <c r="F10" s="406"/>
      <c r="G10" s="406"/>
    </row>
    <row r="11" spans="1:10" ht="19.5" customHeight="1">
      <c r="A11" s="354" t="s">
        <v>696</v>
      </c>
      <c r="B11" s="354">
        <f ca="1">J1+1</f>
        <v>2027</v>
      </c>
      <c r="C11" s="354">
        <f ca="1">B11+1</f>
        <v>2028</v>
      </c>
      <c r="D11" s="354">
        <f t="shared" ref="D11:F11" ca="1" si="0">C11+1</f>
        <v>2029</v>
      </c>
      <c r="E11" s="354">
        <f t="shared" ca="1" si="0"/>
        <v>2030</v>
      </c>
      <c r="F11" s="354">
        <f t="shared" ca="1" si="0"/>
        <v>2031</v>
      </c>
      <c r="G11" s="354" t="s">
        <v>697</v>
      </c>
    </row>
    <row r="12" spans="1:10" ht="15" customHeight="1">
      <c r="A12" s="355" t="s">
        <v>698</v>
      </c>
      <c r="B12" s="356">
        <f>B4*(1+B6)</f>
        <v>1246113.1173322333</v>
      </c>
      <c r="C12" s="356">
        <f>B12*(1+B6)</f>
        <v>1619947.0525319034</v>
      </c>
      <c r="D12" s="356">
        <f>C12*(1+B6)</f>
        <v>2105931.1682914747</v>
      </c>
      <c r="E12" s="356">
        <f>D12*(1+B6)</f>
        <v>2737710.5187789174</v>
      </c>
      <c r="F12" s="356">
        <f>E12*(1+B6)</f>
        <v>3559023.6744125928</v>
      </c>
      <c r="G12" s="357" t="s">
        <v>699</v>
      </c>
    </row>
    <row r="13" spans="1:10" ht="15" customHeight="1">
      <c r="A13" s="358" t="s">
        <v>700</v>
      </c>
      <c r="B13" s="359">
        <f>B12*B8</f>
        <v>450290.19002629904</v>
      </c>
      <c r="C13" s="359">
        <f>C12*B8</f>
        <v>585377.24703418883</v>
      </c>
      <c r="D13" s="359">
        <f>D12*B8</f>
        <v>760990.42114444554</v>
      </c>
      <c r="E13" s="359">
        <f>E12*B8</f>
        <v>989287.54748777929</v>
      </c>
      <c r="F13" s="359">
        <f>F12*B8</f>
        <v>1286073.8117341131</v>
      </c>
      <c r="G13" s="359">
        <f>F13*(1+B7)/(B5-B7)</f>
        <v>6751887.5116040939</v>
      </c>
    </row>
    <row r="14" spans="1:10" ht="15" customHeight="1">
      <c r="A14" s="355" t="s">
        <v>701</v>
      </c>
      <c r="B14" s="360">
        <f>1/(1+B5)^1</f>
        <v>0.8</v>
      </c>
      <c r="C14" s="360">
        <f>1/(1+B5)^2</f>
        <v>0.64</v>
      </c>
      <c r="D14" s="360">
        <f>1/(1+B5)^3</f>
        <v>0.51200000000000001</v>
      </c>
      <c r="E14" s="360">
        <f>1/(1+B5)^4</f>
        <v>0.40960000000000002</v>
      </c>
      <c r="F14" s="360">
        <f>1/(1+B5)^5</f>
        <v>0.32768000000000003</v>
      </c>
      <c r="G14" s="360">
        <f>1/(1+B5)^5</f>
        <v>0.32768000000000003</v>
      </c>
    </row>
    <row r="15" spans="1:10" ht="15" customHeight="1">
      <c r="A15" s="361" t="s">
        <v>702</v>
      </c>
      <c r="B15" s="362">
        <f t="shared" ref="B15:G15" si="1">B13*B14</f>
        <v>360232.15202103928</v>
      </c>
      <c r="C15" s="362">
        <f t="shared" si="1"/>
        <v>374641.43810188083</v>
      </c>
      <c r="D15" s="362">
        <f t="shared" si="1"/>
        <v>389627.09562595614</v>
      </c>
      <c r="E15" s="362">
        <f t="shared" si="1"/>
        <v>405212.17945099442</v>
      </c>
      <c r="F15" s="362">
        <f t="shared" si="1"/>
        <v>421420.66662903421</v>
      </c>
      <c r="G15" s="362">
        <f t="shared" si="1"/>
        <v>2212458.4998024297</v>
      </c>
    </row>
    <row r="18" spans="1:7" ht="21.75" customHeight="1">
      <c r="A18" s="407" t="s">
        <v>709</v>
      </c>
      <c r="B18" s="407"/>
      <c r="C18" s="407"/>
      <c r="D18" s="407"/>
      <c r="E18" s="407"/>
      <c r="F18" s="407"/>
      <c r="G18" s="407"/>
    </row>
    <row r="19" spans="1:7" ht="28" customHeight="1">
      <c r="A19" s="358" t="s">
        <v>703</v>
      </c>
      <c r="B19" s="359">
        <f>SUM(B15:F15)</f>
        <v>1951133.531828905</v>
      </c>
    </row>
    <row r="20" spans="1:7" ht="18" customHeight="1">
      <c r="A20" s="358" t="s">
        <v>704</v>
      </c>
      <c r="B20" s="359">
        <f>G15</f>
        <v>2212458.4998024297</v>
      </c>
    </row>
    <row r="21" spans="1:7" ht="18" customHeight="1">
      <c r="A21" s="361" t="s">
        <v>705</v>
      </c>
      <c r="B21" s="362">
        <f>B19+B20</f>
        <v>4163592.0316313347</v>
      </c>
      <c r="D21" s="363"/>
    </row>
    <row r="22" spans="1:7" ht="18" customHeight="1">
      <c r="A22" s="355" t="s">
        <v>28</v>
      </c>
      <c r="B22" s="366">
        <f>Projeção!P63</f>
        <v>372170.36501251266</v>
      </c>
    </row>
    <row r="23" spans="1:7">
      <c r="A23" s="355" t="s">
        <v>484</v>
      </c>
      <c r="B23" s="366">
        <v>-550000</v>
      </c>
    </row>
    <row r="24" spans="1:7">
      <c r="A24" s="361" t="s">
        <v>707</v>
      </c>
      <c r="B24" s="362">
        <f>B21+B22+B23</f>
        <v>3985762.3966438472</v>
      </c>
      <c r="C24" s="364"/>
      <c r="D24" s="364"/>
      <c r="E24" s="364"/>
      <c r="F24" s="364"/>
      <c r="G24" s="364"/>
    </row>
  </sheetData>
  <mergeCells count="4">
    <mergeCell ref="A1:G1"/>
    <mergeCell ref="A3:C3"/>
    <mergeCell ref="A10:G10"/>
    <mergeCell ref="A18:G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CNS</vt:lpstr>
      <vt:lpstr>CRR</vt:lpstr>
      <vt:lpstr>Consolidated</vt:lpstr>
      <vt:lpstr>Caixa</vt:lpstr>
      <vt:lpstr>Orçamento 2026</vt:lpstr>
      <vt:lpstr>Gráficos 2026</vt:lpstr>
      <vt:lpstr>Projeção</vt:lpstr>
      <vt:lpstr>H. Receita</vt:lpstr>
      <vt:lpstr>AuM</vt:lpstr>
      <vt:lpstr>Captação</vt:lpstr>
      <vt:lpstr>Receita</vt:lpstr>
      <vt:lpstr>Gastos</vt:lpstr>
      <vt:lpstr>Institucional</vt:lpstr>
      <vt:lpstr>Outros Ramos</vt:lpstr>
      <vt:lpstr>Sistemas </vt:lpstr>
      <vt:lpstr>Salários YTD</vt:lpstr>
      <vt:lpstr>Salários</vt:lpstr>
      <vt:lpstr>DCF Andlz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Gaioso</cp:lastModifiedBy>
  <cp:revision>4</cp:revision>
  <dcterms:created xsi:type="dcterms:W3CDTF">2025-10-07T11:10:44Z</dcterms:created>
  <dcterms:modified xsi:type="dcterms:W3CDTF">2026-08-12T19:05:04Z</dcterms:modified>
  <dc:language>en-US</dc:language>
</cp:coreProperties>
</file>