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706A8914-1CB8-9F42-8815-AF9487D5ECD7}" xr6:coauthVersionLast="47" xr6:coauthVersionMax="47" xr10:uidLastSave="{00000000-0000-0000-0000-000000000000}"/>
  <bookViews>
    <workbookView xWindow="-38400" yWindow="600" windowWidth="38400" windowHeight="21000" tabRatio="500" activeTab="6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10" hidden="1">Receita!$E$14:$F$141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consultor">#N/A</definedName>
    <definedName name="SegmentaçãodeDados_Empresa">#N/A</definedName>
    <definedName name="SegmentaçãodeDados_Empresa1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3"/>
        <x14:slicerCache r:id="rId24"/>
        <x14:slicerCache r:id="rId25"/>
        <x14:slicerCache r:id="rId26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61" i="23" l="1"/>
  <c r="N12" i="17"/>
  <c r="I20" i="28" l="1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L8" i="28"/>
  <c r="M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L4" i="28"/>
  <c r="H7" i="28"/>
  <c r="K7" i="28"/>
  <c r="L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L6" i="28"/>
  <c r="M6" i="28"/>
  <c r="N6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K6" i="28" l="1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Q51" i="26" s="1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E45" i="26"/>
  <c r="Q45" i="26" s="1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H14" i="26" s="1"/>
  <c r="I15" i="26"/>
  <c r="J15" i="26"/>
  <c r="K15" i="26"/>
  <c r="L15" i="26"/>
  <c r="M15" i="26"/>
  <c r="N15" i="26"/>
  <c r="N14" i="26" s="1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G14" i="26" l="1"/>
  <c r="Q56" i="26"/>
  <c r="J14" i="26"/>
  <c r="I14" i="26"/>
  <c r="Q17" i="26"/>
  <c r="Q13" i="26"/>
  <c r="P14" i="26"/>
  <c r="Q15" i="26"/>
  <c r="L14" i="26"/>
  <c r="M14" i="26"/>
  <c r="Q16" i="26"/>
  <c r="F14" i="26"/>
  <c r="P6" i="26"/>
  <c r="O14" i="26"/>
  <c r="Q28" i="26"/>
  <c r="Q46" i="26"/>
  <c r="Q12" i="26"/>
  <c r="K14" i="26"/>
  <c r="I87" i="9"/>
  <c r="Q20" i="26"/>
  <c r="Q38" i="26"/>
  <c r="Q22" i="26"/>
  <c r="Q47" i="26"/>
  <c r="Q29" i="26"/>
  <c r="Q21" i="26"/>
  <c r="E14" i="26"/>
  <c r="Q30" i="26"/>
  <c r="Q37" i="26"/>
  <c r="G62" i="23"/>
  <c r="H62" i="23"/>
  <c r="I62" i="23" s="1"/>
  <c r="F62" i="23"/>
  <c r="E62" i="23"/>
  <c r="X34" i="5"/>
  <c r="X35" i="5"/>
  <c r="G46" i="19"/>
  <c r="G58" i="19" s="1"/>
  <c r="G64" i="19"/>
  <c r="H58" i="19"/>
  <c r="Q130" i="5"/>
  <c r="Q123" i="5"/>
  <c r="Q117" i="5"/>
  <c r="Q111" i="5"/>
  <c r="Q99" i="5"/>
  <c r="Q98" i="5"/>
  <c r="Q93" i="5"/>
  <c r="Q87" i="5"/>
  <c r="Q86" i="5"/>
  <c r="Q81" i="5"/>
  <c r="Q75" i="5"/>
  <c r="Q68" i="5"/>
  <c r="Q73" i="5"/>
  <c r="Q67" i="5"/>
  <c r="I48" i="26"/>
  <c r="M32" i="15" l="1"/>
  <c r="M33" i="15"/>
  <c r="M34" i="15"/>
  <c r="M35" i="15"/>
  <c r="M36" i="15"/>
  <c r="M37" i="15"/>
  <c r="M38" i="15"/>
  <c r="M104" i="15"/>
  <c r="M105" i="15"/>
  <c r="M106" i="15"/>
  <c r="M107" i="15"/>
  <c r="M108" i="15"/>
  <c r="M109" i="15"/>
  <c r="M65" i="15"/>
  <c r="M66" i="15"/>
  <c r="M67" i="15"/>
  <c r="M68" i="15"/>
  <c r="M69" i="15"/>
  <c r="M15" i="15"/>
  <c r="M110" i="15"/>
  <c r="M16" i="15"/>
  <c r="M17" i="15"/>
  <c r="M84" i="15"/>
  <c r="M111" i="15"/>
  <c r="M54" i="15"/>
  <c r="M112" i="15"/>
  <c r="M18" i="15"/>
  <c r="M40" i="15"/>
  <c r="M41" i="15"/>
  <c r="M42" i="15"/>
  <c r="M43" i="15"/>
  <c r="M44" i="15"/>
  <c r="M45" i="15"/>
  <c r="M19" i="15"/>
  <c r="M46" i="15"/>
  <c r="M47" i="15"/>
  <c r="M48" i="15"/>
  <c r="M70" i="15"/>
  <c r="M71" i="15"/>
  <c r="M72" i="15"/>
  <c r="M73" i="15"/>
  <c r="M74" i="15"/>
  <c r="M75" i="15"/>
  <c r="M76" i="15"/>
  <c r="M20" i="15"/>
  <c r="M85" i="15"/>
  <c r="M49" i="15"/>
  <c r="M50" i="15"/>
  <c r="M51" i="15"/>
  <c r="M86" i="15"/>
  <c r="M87" i="15"/>
  <c r="M88" i="15"/>
  <c r="M89" i="15"/>
  <c r="M90" i="15"/>
  <c r="M91" i="15"/>
  <c r="M113" i="15"/>
  <c r="M92" i="15"/>
  <c r="M93" i="15"/>
  <c r="M55" i="15"/>
  <c r="M100" i="15"/>
  <c r="M56" i="15"/>
  <c r="M57" i="15"/>
  <c r="M77" i="15"/>
  <c r="M78" i="15"/>
  <c r="M79" i="15"/>
  <c r="M101" i="15"/>
  <c r="M94" i="15"/>
  <c r="M95" i="15"/>
  <c r="M96" i="15"/>
  <c r="M114" i="15"/>
  <c r="M115" i="15"/>
  <c r="M21" i="15"/>
  <c r="M22" i="15"/>
  <c r="M58" i="15"/>
  <c r="M102" i="15"/>
  <c r="M116" i="15"/>
  <c r="M59" i="15"/>
  <c r="M97" i="15"/>
  <c r="M117" i="15"/>
  <c r="M118" i="15"/>
  <c r="M119" i="15"/>
  <c r="M23" i="15"/>
  <c r="M98" i="15"/>
  <c r="M60" i="15"/>
  <c r="M120" i="15"/>
  <c r="M61" i="15"/>
  <c r="M121" i="15"/>
  <c r="M122" i="15"/>
  <c r="M62" i="15"/>
  <c r="M63" i="15"/>
  <c r="M123" i="15"/>
  <c r="M124" i="15"/>
  <c r="M64" i="15"/>
  <c r="M24" i="15"/>
  <c r="M25" i="15"/>
  <c r="M26" i="15"/>
  <c r="M27" i="15"/>
  <c r="M28" i="15"/>
  <c r="M125" i="15"/>
  <c r="M126" i="15"/>
  <c r="M29" i="15"/>
  <c r="M127" i="15"/>
  <c r="M30" i="15"/>
  <c r="M80" i="15"/>
  <c r="M81" i="15"/>
  <c r="M82" i="15"/>
  <c r="M83" i="15"/>
  <c r="M31" i="15"/>
  <c r="M99" i="15"/>
  <c r="M52" i="15"/>
  <c r="M53" i="15"/>
  <c r="M103" i="15"/>
  <c r="M39" i="15"/>
  <c r="N32" i="15"/>
  <c r="N33" i="15"/>
  <c r="N34" i="15"/>
  <c r="N35" i="15"/>
  <c r="N36" i="15"/>
  <c r="N37" i="15"/>
  <c r="N38" i="15"/>
  <c r="N104" i="15"/>
  <c r="N105" i="15"/>
  <c r="N106" i="15"/>
  <c r="N107" i="15"/>
  <c r="N108" i="15"/>
  <c r="N109" i="15"/>
  <c r="N65" i="15"/>
  <c r="N66" i="15"/>
  <c r="N67" i="15"/>
  <c r="N68" i="15"/>
  <c r="N69" i="15"/>
  <c r="N15" i="15"/>
  <c r="N110" i="15"/>
  <c r="N16" i="15"/>
  <c r="N17" i="15"/>
  <c r="N84" i="15"/>
  <c r="N111" i="15"/>
  <c r="N54" i="15"/>
  <c r="N112" i="15"/>
  <c r="N18" i="15"/>
  <c r="N40" i="15"/>
  <c r="N41" i="15"/>
  <c r="N42" i="15"/>
  <c r="N43" i="15"/>
  <c r="N44" i="15"/>
  <c r="N45" i="15"/>
  <c r="N19" i="15"/>
  <c r="N46" i="15"/>
  <c r="N47" i="15"/>
  <c r="N48" i="15"/>
  <c r="N70" i="15"/>
  <c r="N71" i="15"/>
  <c r="N72" i="15"/>
  <c r="N73" i="15"/>
  <c r="N74" i="15"/>
  <c r="N75" i="15"/>
  <c r="N76" i="15"/>
  <c r="N20" i="15"/>
  <c r="N85" i="15"/>
  <c r="N49" i="15"/>
  <c r="N50" i="15"/>
  <c r="N51" i="15"/>
  <c r="N86" i="15"/>
  <c r="N87" i="15"/>
  <c r="N88" i="15"/>
  <c r="N89" i="15"/>
  <c r="N90" i="15"/>
  <c r="N91" i="15"/>
  <c r="N113" i="15"/>
  <c r="N92" i="15"/>
  <c r="N93" i="15"/>
  <c r="N55" i="15"/>
  <c r="N100" i="15"/>
  <c r="N56" i="15"/>
  <c r="N57" i="15"/>
  <c r="N77" i="15"/>
  <c r="N78" i="15"/>
  <c r="N79" i="15"/>
  <c r="N101" i="15"/>
  <c r="N94" i="15"/>
  <c r="N95" i="15"/>
  <c r="N96" i="15"/>
  <c r="N114" i="15"/>
  <c r="N115" i="15"/>
  <c r="N21" i="15"/>
  <c r="N22" i="15"/>
  <c r="N58" i="15"/>
  <c r="N102" i="15"/>
  <c r="N116" i="15"/>
  <c r="N59" i="15"/>
  <c r="N97" i="15"/>
  <c r="N117" i="15"/>
  <c r="N118" i="15"/>
  <c r="N119" i="15"/>
  <c r="N23" i="15"/>
  <c r="N98" i="15"/>
  <c r="N60" i="15"/>
  <c r="N120" i="15"/>
  <c r="N61" i="15"/>
  <c r="N121" i="15"/>
  <c r="N122" i="15"/>
  <c r="N62" i="15"/>
  <c r="N63" i="15"/>
  <c r="N123" i="15"/>
  <c r="N124" i="15"/>
  <c r="N64" i="15"/>
  <c r="N24" i="15"/>
  <c r="N25" i="15"/>
  <c r="N26" i="15"/>
  <c r="N27" i="15"/>
  <c r="N28" i="15"/>
  <c r="N125" i="15"/>
  <c r="N126" i="15"/>
  <c r="N29" i="15"/>
  <c r="N127" i="15"/>
  <c r="N30" i="15"/>
  <c r="N80" i="15"/>
  <c r="N81" i="15"/>
  <c r="N82" i="15"/>
  <c r="N83" i="15"/>
  <c r="N31" i="15"/>
  <c r="N99" i="15"/>
  <c r="N52" i="15"/>
  <c r="N53" i="15"/>
  <c r="N103" i="15"/>
  <c r="N39" i="15"/>
  <c r="AE17" i="15"/>
  <c r="AE20" i="15"/>
  <c r="AE26" i="15"/>
  <c r="AE28" i="15"/>
  <c r="AE30" i="15"/>
  <c r="AE25" i="15"/>
  <c r="AE24" i="15"/>
  <c r="AE29" i="15"/>
  <c r="J15" i="14" l="1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AA36" i="14"/>
  <c r="J56" i="8"/>
  <c r="N48" i="18"/>
  <c r="I4" i="19"/>
  <c r="P142" i="14" l="1"/>
  <c r="P39" i="26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P58" i="26" l="1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Q58" i="26" l="1"/>
  <c r="E61" i="17"/>
  <c r="J54" i="8" l="1"/>
  <c r="J53" i="8"/>
  <c r="J52" i="8"/>
  <c r="J55" i="8"/>
  <c r="S4" i="8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E6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F61" i="23" s="1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G67" i="23" s="1"/>
  <c r="F10" i="23"/>
  <c r="E10" i="23"/>
  <c r="H7" i="23"/>
  <c r="G7" i="23"/>
  <c r="F7" i="23"/>
  <c r="E7" i="23"/>
  <c r="G34" i="22"/>
  <c r="I34" i="5"/>
  <c r="J34" i="5"/>
  <c r="K34" i="5"/>
  <c r="L34" i="5"/>
  <c r="M34" i="5"/>
  <c r="N34" i="5"/>
  <c r="G34" i="5"/>
  <c r="H61" i="23" l="1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F66" i="23"/>
  <c r="E67" i="23"/>
  <c r="E64" i="23"/>
  <c r="F67" i="23"/>
  <c r="U22" i="23"/>
  <c r="U47" i="23" l="1"/>
  <c r="U20" i="23"/>
  <c r="U48" i="23"/>
  <c r="F31" i="22"/>
  <c r="G10" i="22"/>
  <c r="G18" i="22"/>
  <c r="G22" i="22"/>
  <c r="G25" i="22"/>
  <c r="G28" i="22"/>
  <c r="G6" i="22"/>
  <c r="T128" i="15"/>
  <c r="T13" i="15" s="1"/>
  <c r="U128" i="15"/>
  <c r="U13" i="15" s="1"/>
  <c r="V128" i="15"/>
  <c r="V13" i="15" s="1"/>
  <c r="W128" i="15"/>
  <c r="W13" i="15" s="1"/>
  <c r="X128" i="15"/>
  <c r="X13" i="15" s="1"/>
  <c r="Y128" i="15"/>
  <c r="Y13" i="15" s="1"/>
  <c r="Z128" i="15"/>
  <c r="Z13" i="15" s="1"/>
  <c r="AA128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N61" i="17"/>
  <c r="C61" i="17"/>
  <c r="D61" i="17"/>
  <c r="B61" i="17"/>
  <c r="O35" i="5" l="1"/>
  <c r="G31" i="22"/>
  <c r="H34" i="22" l="1"/>
  <c r="G35" i="22"/>
  <c r="H35" i="22" s="1"/>
  <c r="H31" i="22"/>
  <c r="H25" i="22"/>
  <c r="H28" i="22"/>
  <c r="H22" i="22"/>
  <c r="H18" i="22"/>
  <c r="H10" i="22"/>
  <c r="H6" i="22"/>
  <c r="H58" i="17"/>
  <c r="H60" i="17" s="1"/>
  <c r="I58" i="17"/>
  <c r="I59" i="17" s="1"/>
  <c r="F54" i="18"/>
  <c r="G54" i="18"/>
  <c r="H54" i="18"/>
  <c r="I54" i="18"/>
  <c r="J54" i="18"/>
  <c r="K54" i="18"/>
  <c r="L54" i="18"/>
  <c r="M54" i="18"/>
  <c r="F55" i="18"/>
  <c r="G55" i="18"/>
  <c r="H55" i="18"/>
  <c r="I55" i="18"/>
  <c r="J55" i="18"/>
  <c r="K55" i="18"/>
  <c r="L55" i="18"/>
  <c r="M55" i="18"/>
  <c r="F56" i="18"/>
  <c r="G56" i="18"/>
  <c r="H56" i="18"/>
  <c r="I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H2" i="18"/>
  <c r="H53" i="18" s="1"/>
  <c r="G2" i="18"/>
  <c r="G53" i="18" s="1"/>
  <c r="F2" i="18"/>
  <c r="F53" i="18" s="1"/>
  <c r="F3" i="17"/>
  <c r="F4" i="17" s="1"/>
  <c r="G3" i="17"/>
  <c r="G4" i="17" s="1"/>
  <c r="H3" i="17"/>
  <c r="H4" i="17" s="1"/>
  <c r="I3" i="17"/>
  <c r="I4" i="17" s="1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I2" i="17"/>
  <c r="J2" i="17"/>
  <c r="J58" i="17" s="1"/>
  <c r="K2" i="17"/>
  <c r="K58" i="17" s="1"/>
  <c r="L2" i="17"/>
  <c r="L58" i="17" s="1"/>
  <c r="M2" i="17"/>
  <c r="M58" i="17" s="1"/>
  <c r="U16" i="5"/>
  <c r="T16" i="5"/>
  <c r="L59" i="17" l="1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D130" i="5"/>
  <c r="E130" i="5"/>
  <c r="F130" i="5"/>
  <c r="I130" i="5"/>
  <c r="I131" i="5" s="1"/>
  <c r="J130" i="5"/>
  <c r="J131" i="5" s="1"/>
  <c r="K130" i="5"/>
  <c r="K131" i="5" s="1"/>
  <c r="L130" i="5"/>
  <c r="L131" i="5" s="1"/>
  <c r="M130" i="5"/>
  <c r="M131" i="5" s="1"/>
  <c r="N130" i="5"/>
  <c r="N131" i="5" s="1"/>
  <c r="C130" i="5"/>
  <c r="C129" i="5"/>
  <c r="E60" i="19" s="1"/>
  <c r="G69" i="5"/>
  <c r="H69" i="5"/>
  <c r="I69" i="5"/>
  <c r="J69" i="5"/>
  <c r="K69" i="5"/>
  <c r="L69" i="5"/>
  <c r="M69" i="5"/>
  <c r="N69" i="5"/>
  <c r="C69" i="5"/>
  <c r="C6" i="5"/>
  <c r="V9" i="5"/>
  <c r="D27" i="5"/>
  <c r="J5" i="19"/>
  <c r="K5" i="19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O17" i="17"/>
  <c r="N53" i="17" s="1"/>
  <c r="C131" i="5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K7" i="19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K28" i="16"/>
  <c r="K26" i="16"/>
  <c r="K24" i="16"/>
  <c r="K23" i="16"/>
  <c r="F37" i="5" l="1"/>
  <c r="N59" i="17"/>
  <c r="N60" i="17"/>
  <c r="Q39" i="23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U39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L61" i="19" s="1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K61" i="19" s="1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G59" i="19"/>
  <c r="Q46" i="19"/>
  <c r="Q58" i="19" s="1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J61" i="19" s="1"/>
  <c r="H137" i="5"/>
  <c r="E57" i="8"/>
  <c r="Q39" i="19"/>
  <c r="U39" i="19" s="1"/>
  <c r="E5" i="19"/>
  <c r="C75" i="5"/>
  <c r="C137" i="5"/>
  <c r="E52" i="8"/>
  <c r="E59" i="19"/>
  <c r="E61" i="19" s="1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L111" i="5"/>
  <c r="N65" i="19"/>
  <c r="G61" i="8"/>
  <c r="L149" i="5"/>
  <c r="F54" i="8"/>
  <c r="E147" i="5"/>
  <c r="E105" i="5"/>
  <c r="Q105" i="5" s="1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I59" i="19"/>
  <c r="G137" i="5"/>
  <c r="E56" i="8"/>
  <c r="G75" i="5"/>
  <c r="Q28" i="19"/>
  <c r="U28" i="19" s="1"/>
  <c r="C141" i="5"/>
  <c r="C87" i="5"/>
  <c r="C14" i="5"/>
  <c r="Q8" i="19"/>
  <c r="U8" i="19" s="1"/>
  <c r="H59" i="19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F59" i="19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53" i="8" s="1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28" i="15"/>
  <c r="Q13" i="15" s="1"/>
  <c r="R128" i="15"/>
  <c r="R13" i="15" s="1"/>
  <c r="S128" i="15"/>
  <c r="S13" i="15" s="1"/>
  <c r="P128" i="15"/>
  <c r="P13" i="15" s="1"/>
  <c r="AC34" i="14"/>
  <c r="AA45" i="14"/>
  <c r="AA51" i="14"/>
  <c r="AA47" i="14"/>
  <c r="AA50" i="14"/>
  <c r="AA35" i="14"/>
  <c r="AD47" i="15"/>
  <c r="AD48" i="15"/>
  <c r="AH20" i="15"/>
  <c r="AI20" i="15" s="1"/>
  <c r="AE16" i="15"/>
  <c r="AE15" i="15"/>
  <c r="AE27" i="15"/>
  <c r="AE22" i="15"/>
  <c r="AE18" i="15"/>
  <c r="AE23" i="15" l="1"/>
  <c r="AE31" i="15"/>
  <c r="AE19" i="15"/>
  <c r="AE32" i="15"/>
  <c r="AE34" i="15"/>
  <c r="AE21" i="15"/>
  <c r="AE33" i="15"/>
  <c r="AA49" i="14"/>
  <c r="AA31" i="14"/>
  <c r="AA30" i="14"/>
  <c r="AA39" i="14"/>
  <c r="AA33" i="14"/>
  <c r="AA40" i="14"/>
  <c r="AA43" i="14"/>
  <c r="AA48" i="14"/>
  <c r="AA34" i="14"/>
  <c r="AA32" i="14"/>
  <c r="AA46" i="14"/>
  <c r="AA38" i="14"/>
  <c r="AA37" i="14"/>
  <c r="AA44" i="14"/>
  <c r="AA42" i="14"/>
  <c r="AA41" i="14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U12" i="7"/>
  <c r="R53" i="19"/>
  <c r="R9" i="19"/>
  <c r="R52" i="19"/>
  <c r="K22" i="16"/>
  <c r="M128" i="15"/>
  <c r="M13" i="15" s="1"/>
  <c r="AM19" i="15"/>
  <c r="AN19" i="15" s="1"/>
  <c r="AH25" i="15"/>
  <c r="AI25" i="15" s="1"/>
  <c r="AM33" i="15"/>
  <c r="AN33" i="15" s="1"/>
  <c r="AH24" i="15"/>
  <c r="AI24" i="15" s="1"/>
  <c r="AM15" i="15"/>
  <c r="AN15" i="15" s="1"/>
  <c r="AH30" i="15"/>
  <c r="AI30" i="15" s="1"/>
  <c r="AM30" i="15"/>
  <c r="AN30" i="15" s="1"/>
  <c r="AM31" i="15"/>
  <c r="AN31" i="15" s="1"/>
  <c r="AM29" i="15"/>
  <c r="AN29" i="15" s="1"/>
  <c r="AH16" i="15"/>
  <c r="AI16" i="15" s="1"/>
  <c r="AH15" i="15"/>
  <c r="AI15" i="15" s="1"/>
  <c r="AH22" i="15"/>
  <c r="AI22" i="15" s="1"/>
  <c r="AH21" i="15"/>
  <c r="AI21" i="15" s="1"/>
  <c r="AH31" i="15"/>
  <c r="AI31" i="15" s="1"/>
  <c r="AH26" i="15"/>
  <c r="AI26" i="15" s="1"/>
  <c r="AM16" i="15"/>
  <c r="AN16" i="15" s="1"/>
  <c r="AH18" i="15"/>
  <c r="AI18" i="15" s="1"/>
  <c r="AH17" i="15"/>
  <c r="AI17" i="15" s="1"/>
  <c r="AH33" i="15"/>
  <c r="AI33" i="15" s="1"/>
  <c r="AH19" i="15"/>
  <c r="AI19" i="15" s="1"/>
  <c r="AD45" i="15"/>
  <c r="AM28" i="15"/>
  <c r="AN28" i="15" s="1"/>
  <c r="AH32" i="15"/>
  <c r="AI32" i="15" s="1"/>
  <c r="AH28" i="15"/>
  <c r="AI28" i="15" s="1"/>
  <c r="AM18" i="15"/>
  <c r="AN18" i="15" s="1"/>
  <c r="AM27" i="15"/>
  <c r="AN27" i="15" s="1"/>
  <c r="AH23" i="15"/>
  <c r="AI23" i="15" s="1"/>
  <c r="AM32" i="15"/>
  <c r="AN32" i="15" s="1"/>
  <c r="AH27" i="15"/>
  <c r="AI27" i="15" s="1"/>
  <c r="AM17" i="15"/>
  <c r="AN17" i="15" s="1"/>
  <c r="AH29" i="15"/>
  <c r="AI29" i="15" s="1"/>
  <c r="AD41" i="15"/>
  <c r="AD44" i="15"/>
  <c r="AD46" i="15"/>
  <c r="AD43" i="15"/>
  <c r="AD42" i="15"/>
  <c r="AD40" i="15"/>
  <c r="AD39" i="15"/>
  <c r="J142" i="14"/>
  <c r="Z34" i="14" l="1"/>
  <c r="AD33" i="14" s="1"/>
  <c r="AA52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8" i="15" s="1"/>
  <c r="AD49" i="15"/>
  <c r="Z48" i="14"/>
  <c r="Z41" i="14"/>
  <c r="Z35" i="14"/>
  <c r="AD34" i="14" s="1"/>
  <c r="Z38" i="14"/>
  <c r="Z46" i="14"/>
  <c r="Z44" i="14"/>
  <c r="Z36" i="14"/>
  <c r="Z42" i="14"/>
  <c r="Z45" i="14"/>
  <c r="Z37" i="14"/>
  <c r="Z51" i="14"/>
  <c r="Z33" i="14"/>
  <c r="AD32" i="14" s="1"/>
  <c r="Z49" i="14"/>
  <c r="Z50" i="14"/>
  <c r="Z32" i="14"/>
  <c r="K134" i="14"/>
  <c r="Z31" i="14"/>
  <c r="Z47" i="14"/>
  <c r="Z40" i="14"/>
  <c r="Z43" i="14"/>
  <c r="Z39" i="14"/>
  <c r="K102" i="14"/>
  <c r="K131" i="14"/>
  <c r="K73" i="14"/>
  <c r="K79" i="14"/>
  <c r="K128" i="14"/>
  <c r="K135" i="14"/>
  <c r="K100" i="14"/>
  <c r="K97" i="14"/>
  <c r="K41" i="14"/>
  <c r="K132" i="14"/>
  <c r="K138" i="14"/>
  <c r="K83" i="14"/>
  <c r="K55" i="14"/>
  <c r="K48" i="14"/>
  <c r="K139" i="14"/>
  <c r="K133" i="14"/>
  <c r="K93" i="14"/>
  <c r="K127" i="14"/>
  <c r="K136" i="14"/>
  <c r="K89" i="14"/>
  <c r="K99" i="14"/>
  <c r="K140" i="14"/>
  <c r="K137" i="14"/>
  <c r="K129" i="14"/>
  <c r="K130" i="14"/>
  <c r="K141" i="14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1" i="14" l="1"/>
  <c r="AO16" i="15"/>
  <c r="AO19" i="15"/>
  <c r="AJ20" i="15"/>
  <c r="AJ19" i="15"/>
  <c r="AJ22" i="15"/>
  <c r="AJ27" i="15"/>
  <c r="AJ21" i="15"/>
  <c r="AJ29" i="15"/>
  <c r="AJ24" i="15"/>
  <c r="AO17" i="15"/>
  <c r="AJ23" i="15"/>
  <c r="AJ33" i="15"/>
  <c r="AO28" i="15"/>
  <c r="AO15" i="15"/>
  <c r="AJ16" i="15"/>
  <c r="AO32" i="15"/>
  <c r="AJ25" i="15"/>
  <c r="AO18" i="15"/>
  <c r="AJ31" i="15"/>
  <c r="AJ30" i="15"/>
  <c r="AO30" i="15"/>
  <c r="AJ32" i="15"/>
  <c r="AO27" i="15"/>
  <c r="AJ26" i="15"/>
  <c r="AO31" i="15"/>
  <c r="AJ18" i="15"/>
  <c r="AJ15" i="15"/>
  <c r="AO33" i="15"/>
  <c r="AJ17" i="15"/>
  <c r="AD35" i="14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27" i="5"/>
  <c r="J33" i="5" s="1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K126" i="14"/>
  <c r="K125" i="14"/>
  <c r="K91" i="14"/>
  <c r="K58" i="14"/>
  <c r="K122" i="14"/>
  <c r="K57" i="14"/>
  <c r="K80" i="14"/>
  <c r="K113" i="14"/>
  <c r="K110" i="14"/>
  <c r="K108" i="14"/>
  <c r="K118" i="14"/>
  <c r="K106" i="14"/>
  <c r="K63" i="14"/>
  <c r="K56" i="14"/>
  <c r="K112" i="14"/>
  <c r="K71" i="14"/>
  <c r="K64" i="14"/>
  <c r="K68" i="14"/>
  <c r="K67" i="14"/>
  <c r="K46" i="14"/>
  <c r="K36" i="14"/>
  <c r="K35" i="14"/>
  <c r="AU33" i="14"/>
  <c r="K28" i="14"/>
  <c r="K27" i="14"/>
  <c r="K26" i="14"/>
  <c r="K25" i="14"/>
  <c r="K22" i="14"/>
  <c r="K21" i="14"/>
  <c r="K20" i="14"/>
  <c r="K19" i="14"/>
  <c r="Y16" i="14" a="1"/>
  <c r="Z21" i="14" s="1"/>
  <c r="K15" i="14"/>
  <c r="E1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2" i="7" s="1"/>
  <c r="H47" i="7"/>
  <c r="H46" i="7"/>
  <c r="H45" i="7"/>
  <c r="H44" i="7"/>
  <c r="H43" i="7"/>
  <c r="O19" i="7"/>
  <c r="N19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F6" i="7" s="1"/>
  <c r="E10" i="7"/>
  <c r="I8" i="7"/>
  <c r="G8" i="7"/>
  <c r="G7" i="7" s="1"/>
  <c r="G6" i="7" s="1"/>
  <c r="Q7" i="7"/>
  <c r="P7" i="7"/>
  <c r="O7" i="7"/>
  <c r="O6" i="7" s="1"/>
  <c r="N7" i="7"/>
  <c r="M7" i="7"/>
  <c r="L7" i="7"/>
  <c r="K7" i="7"/>
  <c r="J7" i="7"/>
  <c r="I7" i="7"/>
  <c r="H7" i="7"/>
  <c r="H6" i="7" s="1"/>
  <c r="F7" i="7"/>
  <c r="E7" i="7"/>
  <c r="N6" i="7"/>
  <c r="M6" i="7"/>
  <c r="L6" i="7"/>
  <c r="I6" i="7"/>
  <c r="E6" i="7"/>
  <c r="M124" i="5"/>
  <c r="K124" i="5"/>
  <c r="I124" i="5"/>
  <c r="N118" i="5"/>
  <c r="M118" i="5"/>
  <c r="K118" i="5"/>
  <c r="M112" i="5"/>
  <c r="J94" i="5"/>
  <c r="M88" i="5"/>
  <c r="N82" i="5"/>
  <c r="M76" i="5"/>
  <c r="C8" i="5"/>
  <c r="K112" i="5"/>
  <c r="H112" i="5"/>
  <c r="I94" i="5"/>
  <c r="M82" i="5"/>
  <c r="L82" i="5"/>
  <c r="G41" i="5" l="1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X31" i="5" s="1"/>
  <c r="Q121" i="5"/>
  <c r="Q128" i="5"/>
  <c r="Q103" i="5"/>
  <c r="K16" i="14"/>
  <c r="K42" i="14"/>
  <c r="K88" i="14"/>
  <c r="K47" i="14"/>
  <c r="K33" i="14"/>
  <c r="K95" i="14"/>
  <c r="K50" i="14"/>
  <c r="K29" i="14"/>
  <c r="K38" i="14"/>
  <c r="K54" i="14"/>
  <c r="K44" i="14"/>
  <c r="K17" i="14"/>
  <c r="K30" i="14"/>
  <c r="K105" i="14"/>
  <c r="K81" i="14"/>
  <c r="Y20" i="14"/>
  <c r="Y21" i="14"/>
  <c r="Y19" i="14"/>
  <c r="Y23" i="14"/>
  <c r="Y24" i="14"/>
  <c r="Z24" i="14"/>
  <c r="Y17" i="14"/>
  <c r="Z19" i="14"/>
  <c r="Y18" i="14"/>
  <c r="K18" i="14"/>
  <c r="K23" i="14"/>
  <c r="K39" i="14"/>
  <c r="K45" i="14"/>
  <c r="Z18" i="14"/>
  <c r="K24" i="14"/>
  <c r="K32" i="14"/>
  <c r="K43" i="14"/>
  <c r="K87" i="14"/>
  <c r="K120" i="14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M19" i="7"/>
  <c r="I88" i="5"/>
  <c r="I82" i="5"/>
  <c r="J82" i="5"/>
  <c r="I100" i="5"/>
  <c r="J106" i="5"/>
  <c r="J88" i="5"/>
  <c r="K82" i="5"/>
  <c r="N94" i="5"/>
  <c r="J100" i="5"/>
  <c r="I112" i="5"/>
  <c r="J112" i="5"/>
  <c r="K100" i="5"/>
  <c r="L124" i="5"/>
  <c r="I19" i="7"/>
  <c r="G61" i="7"/>
  <c r="F19" i="7"/>
  <c r="H88" i="5"/>
  <c r="L100" i="5"/>
  <c r="N76" i="5"/>
  <c r="H76" i="5"/>
  <c r="H82" i="5"/>
  <c r="H106" i="5"/>
  <c r="N124" i="5"/>
  <c r="M94" i="5"/>
  <c r="C60" i="8"/>
  <c r="H124" i="5"/>
  <c r="H19" i="7"/>
  <c r="G19" i="7"/>
  <c r="K94" i="5"/>
  <c r="K88" i="5"/>
  <c r="H94" i="5"/>
  <c r="H100" i="5"/>
  <c r="N106" i="5"/>
  <c r="L76" i="5"/>
  <c r="L94" i="5"/>
  <c r="L88" i="5"/>
  <c r="L19" i="7"/>
  <c r="I52" i="8"/>
  <c r="M100" i="5"/>
  <c r="K106" i="5"/>
  <c r="I76" i="5"/>
  <c r="L106" i="5"/>
  <c r="I118" i="5"/>
  <c r="K76" i="5"/>
  <c r="L118" i="5"/>
  <c r="P6" i="7"/>
  <c r="H118" i="5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H131" i="5" s="1"/>
  <c r="O117" i="5"/>
  <c r="J124" i="5"/>
  <c r="I106" i="5"/>
  <c r="Q6" i="7"/>
  <c r="Z30" i="14"/>
  <c r="N128" i="15"/>
  <c r="Z17" i="14"/>
  <c r="Z23" i="14"/>
  <c r="Z20" i="14"/>
  <c r="Y16" i="14"/>
  <c r="Y22" i="14"/>
  <c r="Z16" i="14"/>
  <c r="Z22" i="14"/>
  <c r="K104" i="14"/>
  <c r="K86" i="14"/>
  <c r="K121" i="14"/>
  <c r="K53" i="14"/>
  <c r="K109" i="14"/>
  <c r="K52" i="14"/>
  <c r="K115" i="14"/>
  <c r="K119" i="14"/>
  <c r="K124" i="14"/>
  <c r="K51" i="14"/>
  <c r="K116" i="14"/>
  <c r="K107" i="14"/>
  <c r="K103" i="14"/>
  <c r="K40" i="14"/>
  <c r="K90" i="14"/>
  <c r="K123" i="14"/>
  <c r="K78" i="14"/>
  <c r="K117" i="14"/>
  <c r="K72" i="14"/>
  <c r="K101" i="14"/>
  <c r="K74" i="14"/>
  <c r="K76" i="14"/>
  <c r="K85" i="14"/>
  <c r="K75" i="14"/>
  <c r="K70" i="14"/>
  <c r="K77" i="14"/>
  <c r="K60" i="14"/>
  <c r="K59" i="14"/>
  <c r="K62" i="14"/>
  <c r="K37" i="14"/>
  <c r="K34" i="14"/>
  <c r="K31" i="14"/>
  <c r="K96" i="14"/>
  <c r="K94" i="14"/>
  <c r="K66" i="14"/>
  <c r="K114" i="14"/>
  <c r="K69" i="14"/>
  <c r="K111" i="14"/>
  <c r="I8" i="23" l="1"/>
  <c r="K25" i="23"/>
  <c r="K36" i="5"/>
  <c r="M17" i="23" s="1"/>
  <c r="K33" i="5"/>
  <c r="K8" i="23"/>
  <c r="J31" i="5"/>
  <c r="J41" i="5"/>
  <c r="L11" i="23"/>
  <c r="L10" i="23" s="1"/>
  <c r="J8" i="23"/>
  <c r="H37" i="5"/>
  <c r="I40" i="5"/>
  <c r="K24" i="23" s="1"/>
  <c r="K23" i="23" s="1"/>
  <c r="K30" i="23" s="1"/>
  <c r="M7" i="23"/>
  <c r="M12" i="23"/>
  <c r="L27" i="5"/>
  <c r="N7" i="23" s="1"/>
  <c r="G39" i="5"/>
  <c r="I24" i="23" s="1"/>
  <c r="J19" i="7"/>
  <c r="G130" i="5"/>
  <c r="O130" i="5" s="1"/>
  <c r="O124" i="15"/>
  <c r="N13" i="15"/>
  <c r="Z52" i="14"/>
  <c r="AD30" i="14"/>
  <c r="K142" i="14"/>
  <c r="AA18" i="14"/>
  <c r="AA19" i="14"/>
  <c r="AA24" i="14"/>
  <c r="AA21" i="14"/>
  <c r="O115" i="15"/>
  <c r="O91" i="15"/>
  <c r="O92" i="15"/>
  <c r="O53" i="15"/>
  <c r="O17" i="15"/>
  <c r="O112" i="15"/>
  <c r="O28" i="15"/>
  <c r="O56" i="15"/>
  <c r="O106" i="15"/>
  <c r="O111" i="15"/>
  <c r="O72" i="15"/>
  <c r="O103" i="15"/>
  <c r="O116" i="15"/>
  <c r="O100" i="15"/>
  <c r="O107" i="15"/>
  <c r="O117" i="15"/>
  <c r="AE35" i="15"/>
  <c r="O33" i="15"/>
  <c r="O32" i="15"/>
  <c r="O121" i="15"/>
  <c r="O38" i="15"/>
  <c r="O105" i="15"/>
  <c r="O59" i="15"/>
  <c r="O35" i="15"/>
  <c r="O29" i="15"/>
  <c r="O119" i="15"/>
  <c r="O84" i="15"/>
  <c r="O70" i="15"/>
  <c r="O60" i="15"/>
  <c r="O88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57" i="15"/>
  <c r="O27" i="15"/>
  <c r="O67" i="15"/>
  <c r="O49" i="15"/>
  <c r="O58" i="15"/>
  <c r="O51" i="15"/>
  <c r="O87" i="5"/>
  <c r="O18" i="15"/>
  <c r="O102" i="15"/>
  <c r="O61" i="15"/>
  <c r="O94" i="15"/>
  <c r="K19" i="7"/>
  <c r="O110" i="15"/>
  <c r="O122" i="15"/>
  <c r="O78" i="15"/>
  <c r="O114" i="15"/>
  <c r="AA20" i="14"/>
  <c r="O16" i="15"/>
  <c r="O15" i="15"/>
  <c r="O97" i="15"/>
  <c r="O21" i="15"/>
  <c r="O123" i="15"/>
  <c r="O52" i="15"/>
  <c r="O40" i="15"/>
  <c r="O65" i="15"/>
  <c r="O125" i="15"/>
  <c r="O108" i="15"/>
  <c r="O113" i="15"/>
  <c r="O85" i="15"/>
  <c r="O22" i="15"/>
  <c r="O47" i="15"/>
  <c r="O37" i="15"/>
  <c r="O105" i="5"/>
  <c r="O23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77" i="15"/>
  <c r="O127" i="15"/>
  <c r="O101" i="15"/>
  <c r="AA23" i="14"/>
  <c r="O90" i="15"/>
  <c r="O54" i="15"/>
  <c r="O50" i="15"/>
  <c r="O96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89" i="15"/>
  <c r="O95" i="15"/>
  <c r="O87" i="15"/>
  <c r="O36" i="15"/>
  <c r="O126" i="15"/>
  <c r="O63" i="15"/>
  <c r="O69" i="15"/>
  <c r="O42" i="15"/>
  <c r="O64" i="15"/>
  <c r="O19" i="15"/>
  <c r="O24" i="15"/>
  <c r="O118" i="15"/>
  <c r="O79" i="15"/>
  <c r="O75" i="5"/>
  <c r="AA17" i="14"/>
  <c r="R6" i="7"/>
  <c r="U6" i="7" s="1"/>
  <c r="Q19" i="7"/>
  <c r="O68" i="15"/>
  <c r="O66" i="15"/>
  <c r="O99" i="5"/>
  <c r="AA16" i="14"/>
  <c r="O25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109" i="15"/>
  <c r="O55" i="15"/>
  <c r="O104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75" i="15"/>
  <c r="O48" i="15"/>
  <c r="O43" i="15"/>
  <c r="O41" i="15"/>
  <c r="O71" i="15"/>
  <c r="O74" i="15"/>
  <c r="O45" i="15"/>
  <c r="E13" i="15"/>
  <c r="O46" i="15"/>
  <c r="O76" i="15"/>
  <c r="O73" i="15"/>
  <c r="O20" i="15"/>
  <c r="O39" i="15"/>
  <c r="O93" i="15"/>
  <c r="O86" i="15"/>
  <c r="O62" i="15"/>
  <c r="O44" i="15"/>
  <c r="O34" i="15"/>
  <c r="P19" i="7"/>
  <c r="O120" i="15"/>
  <c r="O26" i="15"/>
  <c r="O98" i="15"/>
  <c r="I53" i="8"/>
  <c r="K37" i="23" l="1"/>
  <c r="Q38" i="23"/>
  <c r="U38" i="23" s="1"/>
  <c r="Q27" i="23"/>
  <c r="U27" i="23" s="1"/>
  <c r="Q31" i="23"/>
  <c r="U31" i="23" s="1"/>
  <c r="K31" i="5"/>
  <c r="K49" i="5" s="1"/>
  <c r="M50" i="23" s="1"/>
  <c r="L8" i="23"/>
  <c r="K49" i="23"/>
  <c r="K67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19" i="15"/>
  <c r="AD34" i="15"/>
  <c r="AD28" i="15"/>
  <c r="AD30" i="15"/>
  <c r="AD33" i="15"/>
  <c r="AD22" i="15"/>
  <c r="AD26" i="15"/>
  <c r="AD18" i="15"/>
  <c r="AD32" i="15"/>
  <c r="AD31" i="15"/>
  <c r="AD21" i="15"/>
  <c r="AD20" i="15"/>
  <c r="AD24" i="15"/>
  <c r="AD29" i="15"/>
  <c r="AD16" i="15"/>
  <c r="AD27" i="15"/>
  <c r="AD25" i="15"/>
  <c r="AD17" i="15"/>
  <c r="AD23" i="15"/>
  <c r="AD15" i="15"/>
  <c r="O128" i="15"/>
  <c r="K37" i="5"/>
  <c r="K39" i="5"/>
  <c r="M24" i="23" s="1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F136" i="5"/>
  <c r="F74" i="5"/>
  <c r="I57" i="5"/>
  <c r="I58" i="5" s="1"/>
  <c r="I74" i="5"/>
  <c r="I136" i="5"/>
  <c r="O45" i="5"/>
  <c r="O86" i="5" s="1"/>
  <c r="O88" i="5" s="1"/>
  <c r="C86" i="5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F140" i="5"/>
  <c r="F86" i="5"/>
  <c r="F88" i="5" s="1"/>
  <c r="M144" i="5"/>
  <c r="M98" i="5"/>
  <c r="D98" i="5"/>
  <c r="D100" i="5" s="1"/>
  <c r="D144" i="5"/>
  <c r="I98" i="5"/>
  <c r="I144" i="5"/>
  <c r="O50" i="5"/>
  <c r="F144" i="5"/>
  <c r="F98" i="5"/>
  <c r="F100" i="5" s="1"/>
  <c r="O43" i="5"/>
  <c r="N144" i="5"/>
  <c r="N98" i="5"/>
  <c r="H86" i="5"/>
  <c r="H140" i="5"/>
  <c r="H74" i="5"/>
  <c r="H136" i="5"/>
  <c r="O42" i="5"/>
  <c r="G150" i="5"/>
  <c r="G116" i="5"/>
  <c r="G118" i="5" s="1"/>
  <c r="K136" i="5"/>
  <c r="E144" i="5"/>
  <c r="E98" i="5"/>
  <c r="E100" i="5" s="1"/>
  <c r="K144" i="5"/>
  <c r="K98" i="5"/>
  <c r="I86" i="5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F76" i="5" l="1"/>
  <c r="Q74" i="5"/>
  <c r="K74" i="5"/>
  <c r="K52" i="5"/>
  <c r="I116" i="5"/>
  <c r="K53" i="23"/>
  <c r="J116" i="5"/>
  <c r="L53" i="23"/>
  <c r="H116" i="5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K150" i="5"/>
  <c r="M53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K116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Q76" i="5"/>
  <c r="D38" i="5"/>
  <c r="D138" i="5" s="1"/>
  <c r="I38" i="5"/>
  <c r="I44" i="5" s="1"/>
  <c r="I46" i="5" s="1"/>
  <c r="I142" i="5" s="1"/>
  <c r="C58" i="5"/>
  <c r="C38" i="5"/>
  <c r="U13" i="7"/>
  <c r="U9" i="7" s="1"/>
  <c r="U14" i="7" s="1"/>
  <c r="O123" i="5"/>
  <c r="E80" i="5"/>
  <c r="E82" i="5" s="1"/>
  <c r="E138" i="5"/>
  <c r="E44" i="5"/>
  <c r="E46" i="5" s="1"/>
  <c r="K38" i="5"/>
  <c r="F118" i="5" l="1"/>
  <c r="Q116" i="5"/>
  <c r="Q118" i="5" s="1"/>
  <c r="O27" i="5"/>
  <c r="N33" i="5"/>
  <c r="N36" i="5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L67" i="23"/>
  <c r="L49" i="23"/>
  <c r="M37" i="23"/>
  <c r="O33" i="5"/>
  <c r="P12" i="23"/>
  <c r="Q12" i="23" s="1"/>
  <c r="M31" i="5"/>
  <c r="O11" i="23"/>
  <c r="L150" i="5"/>
  <c r="N53" i="23"/>
  <c r="O36" i="5"/>
  <c r="P17" i="23"/>
  <c r="Q17" i="23" s="1"/>
  <c r="N31" i="5"/>
  <c r="O32" i="5"/>
  <c r="J59" i="5"/>
  <c r="J92" i="5"/>
  <c r="C80" i="5"/>
  <c r="J48" i="5"/>
  <c r="J51" i="5" s="1"/>
  <c r="F142" i="5"/>
  <c r="H80" i="5"/>
  <c r="H59" i="5"/>
  <c r="G80" i="5"/>
  <c r="G82" i="5" s="1"/>
  <c r="H138" i="5"/>
  <c r="G138" i="5"/>
  <c r="D44" i="5"/>
  <c r="D46" i="5" s="1"/>
  <c r="D142" i="5" s="1"/>
  <c r="I59" i="5"/>
  <c r="H48" i="5"/>
  <c r="H104" i="5" s="1"/>
  <c r="F80" i="5"/>
  <c r="H92" i="5"/>
  <c r="D80" i="5"/>
  <c r="D82" i="5" s="1"/>
  <c r="I92" i="5"/>
  <c r="F59" i="5"/>
  <c r="F104" i="5"/>
  <c r="F92" i="5"/>
  <c r="I48" i="5"/>
  <c r="I146" i="5" s="1"/>
  <c r="I138" i="5"/>
  <c r="F138" i="5"/>
  <c r="I80" i="5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Q92" i="5"/>
  <c r="F106" i="5"/>
  <c r="F82" i="5"/>
  <c r="Q80" i="5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D59" i="5"/>
  <c r="D48" i="5"/>
  <c r="D146" i="5" s="1"/>
  <c r="D92" i="5"/>
  <c r="D94" i="5" s="1"/>
  <c r="I104" i="5"/>
  <c r="I51" i="5"/>
  <c r="I110" i="5" s="1"/>
  <c r="H51" i="5"/>
  <c r="H53" i="5" s="1"/>
  <c r="J62" i="23" s="1"/>
  <c r="H146" i="5"/>
  <c r="F146" i="5"/>
  <c r="F110" i="5"/>
  <c r="C82" i="5"/>
  <c r="Q82" i="5"/>
  <c r="K142" i="5"/>
  <c r="K48" i="5"/>
  <c r="K59" i="5"/>
  <c r="K92" i="5"/>
  <c r="J110" i="5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Q104" i="5" l="1"/>
  <c r="F112" i="5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F122" i="5"/>
  <c r="F61" i="5"/>
  <c r="F152" i="5"/>
  <c r="H61" i="5"/>
  <c r="H122" i="5"/>
  <c r="H152" i="5"/>
  <c r="C92" i="5"/>
  <c r="C59" i="5"/>
  <c r="C48" i="5"/>
  <c r="C142" i="5"/>
  <c r="K62" i="23" l="1"/>
  <c r="Q110" i="5"/>
  <c r="F124" i="5"/>
  <c r="N52" i="23"/>
  <c r="N61" i="23"/>
  <c r="N66" i="23" s="1"/>
  <c r="L142" i="5"/>
  <c r="L59" i="5"/>
  <c r="L92" i="5"/>
  <c r="L48" i="5"/>
  <c r="D110" i="5"/>
  <c r="D112" i="5" s="1"/>
  <c r="D53" i="5"/>
  <c r="D129" i="5" s="1"/>
  <c r="F63" i="23" s="1"/>
  <c r="F64" i="23" s="1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Q122" i="5" l="1"/>
  <c r="L62" i="23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C61" i="5"/>
  <c r="C152" i="5"/>
  <c r="N62" i="23" l="1"/>
  <c r="I63" i="23"/>
  <c r="I64" i="23" s="1"/>
  <c r="H129" i="5"/>
  <c r="J63" i="23" s="1"/>
  <c r="J64" i="23" s="1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O62" i="23" l="1"/>
  <c r="J60" i="19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B4" i="27" l="1"/>
  <c r="B12" i="27" s="1"/>
  <c r="P62" i="23"/>
  <c r="K63" i="23"/>
  <c r="K64" i="23" s="1"/>
  <c r="K60" i="19"/>
  <c r="Q66" i="23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C12" i="27" l="1"/>
  <c r="R61" i="23"/>
  <c r="B8" i="27" s="1"/>
  <c r="B13" i="27" s="1"/>
  <c r="B15" i="27" s="1"/>
  <c r="U52" i="23"/>
  <c r="R52" i="23"/>
  <c r="S52" i="23"/>
  <c r="Q68" i="23"/>
  <c r="O69" i="23"/>
  <c r="Q56" i="23"/>
  <c r="K129" i="5"/>
  <c r="M63" i="23" s="1"/>
  <c r="M64" i="23" s="1"/>
  <c r="L60" i="19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<sst xmlns="http://schemas.openxmlformats.org/spreadsheetml/2006/main" count="2659" uniqueCount="719">
  <si>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</si>
  <si>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</si>
  <si>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</si>
  <si>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</si>
  <si>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</si>
  <si>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</si>
  <si>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</si>
  <si>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</si>
  <si>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</si>
  <si>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</si>
  <si>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</si>
  <si>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</si>
  <si>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</si>
  <si>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</si>
  <si>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</si>
  <si>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</si>
  <si>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</si>
  <si>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</si>
  <si>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</si>
  <si>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</si>
  <si>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</si>
  <si>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</si>
  <si>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</si>
  <si>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</si>
  <si>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</si>
  <si>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</si>
  <si>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</si>
  <si>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</si>
  <si>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</si>
  <si>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</si>
  <si>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</si>
  <si>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</si>
  <si>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</si>
  <si>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</si>
  <si>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</si>
  <si>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</si>
  <si>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</si>
  <si>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</si>
  <si>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</si>
  <si>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</si>
  <si>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</si>
  <si>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</si>
  <si>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</si>
  <si>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</si>
  <si>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</si>
  <si>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</si>
  <si>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</si>
  <si>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</si>
  <si>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</si>
  <si>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</si>
  <si>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</si>
  <si>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</si>
  <si>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</si>
  <si>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</si>
  <si>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</si>
  <si>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</si>
  <si>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</si>
  <si>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</si>
  <si>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</si>
  <si>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</si>
  <si>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</si>
  <si>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</si>
  <si>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</si>
  <si>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</si>
  <si>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</si>
  <si>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</si>
  <si>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</si>
  <si>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</si>
  <si>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</si>
  <si>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</si>
  <si>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</si>
  <si>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</si>
  <si>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</si>
  <si>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</si>
  <si>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</si>
  <si>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</si>
  <si>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</si>
  <si>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</si>
  <si>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</si>
  <si>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</si>
  <si>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</si>
  <si>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</si>
  <si>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</si>
  <si>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</si>
  <si>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</si>
  <si>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</si>
  <si>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</si>
  <si>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</si>
  <si>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</si>
  <si>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</si>
  <si>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</si>
  <si>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</si>
  <si>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</si>
  <si>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</si>
  <si>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</si>
  <si>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</si>
  <si>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</si>
  <si>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</si>
  <si>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</si>
  <si>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</si>
  <si>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</si>
  <si>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</si>
  <si>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</si>
  <si>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</si>
  <si>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</si>
  <si>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</si>
  <si>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</si>
  <si>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</si>
  <si>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</si>
  <si>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</si>
  <si>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</si>
  <si>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</si>
  <si>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</si>
  <si>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</si>
  <si>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</si>
  <si>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</si>
  <si>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</si>
  <si>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</si>
  <si>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</si>
  <si>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</si>
  <si>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</si>
  <si>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</si>
  <si>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</si>
  <si>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</si>
  <si>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</si>
  <si>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</si>
  <si>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</si>
  <si>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</si>
  <si>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</si>
  <si>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</si>
  <si>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</si>
  <si>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</si>
  <si>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</si>
  <si>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</si>
  <si>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</si>
  <si>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</si>
  <si>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</si>
  <si>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</si>
  <si>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</si>
  <si>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</si>
  <si>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</si>
  <si>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</si>
  <si>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</si>
  <si>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</si>
  <si>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</si>
  <si>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</si>
  <si>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</si>
  <si>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</si>
  <si>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</si>
  <si>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</si>
  <si>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</si>
  <si>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</si>
  <si>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</si>
  <si>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</si>
  <si>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</si>
  <si>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</si>
  <si>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</si>
  <si>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</si>
  <si>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</si>
  <si>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</si>
  <si>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</si>
  <si>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</si>
  <si>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</si>
  <si>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</si>
  <si>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</si>
  <si>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</si>
  <si>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</si>
  <si>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</si>
  <si>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</si>
  <si>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</si>
  <si>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</si>
  <si>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</si>
  <si>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</si>
  <si>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</si>
  <si>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</si>
  <si>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</si>
  <si>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</si>
  <si>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</si>
  <si>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</si>
  <si>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</si>
  <si>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</si>
  <si>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</si>
  <si>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</si>
  <si>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</si>
  <si>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</si>
  <si>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</si>
  <si>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</si>
  <si>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</si>
  <si>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</si>
  <si>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</si>
  <si>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</si>
  <si>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</si>
  <si>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</si>
  <si>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</si>
  <si>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</si>
  <si>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</si>
  <si>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</si>
  <si>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</si>
  <si>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</si>
  <si>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</si>
  <si>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</si>
  <si>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</si>
  <si>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</si>
  <si>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</si>
  <si>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</si>
  <si>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</si>
  <si>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</si>
  <si>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</si>
  <si>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</si>
  <si>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</si>
  <si>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</si>
  <si>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</si>
  <si>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</si>
  <si>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</si>
  <si>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</si>
  <si>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</si>
  <si>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</si>
  <si>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</si>
  <si>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</si>
  <si>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</si>
  <si>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</si>
  <si>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</si>
  <si>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</si>
  <si>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</si>
  <si>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</si>
  <si>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</si>
  <si>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</si>
  <si>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</si>
  <si>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</si>
  <si>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</si>
  <si>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</si>
  <si>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</si>
  <si>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</si>
  <si>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</si>
  <si>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</si>
  <si>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</si>
  <si>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</si>
  <si>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</si>
  <si>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</si>
  <si>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</si>
  <si>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</si>
  <si>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</si>
  <si>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</si>
  <si>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</si>
  <si>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</si>
  <si>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</si>
  <si>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</si>
  <si>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</si>
  <si>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</si>
  <si>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</si>
  <si>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</si>
  <si>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</si>
  <si>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</si>
  <si>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</si>
  <si>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</si>
  <si>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</si>
  <si>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</si>
  <si>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</si>
  <si>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</si>
  <si>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</si>
  <si>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</si>
  <si>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</si>
  <si>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</si>
  <si>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</si>
  <si>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</si>
  <si>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</si>
  <si>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</si>
  <si>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</si>
  <si>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</si>
  <si>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</si>
  <si>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</si>
  <si>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</si>
  <si>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</si>
  <si>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</si>
  <si>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</si>
  <si>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</si>
  <si>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</si>
  <si>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</si>
  <si>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</si>
  <si>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</si>
  <si>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</si>
  <si>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</si>
  <si>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</si>
  <si>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</si>
  <si>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</si>
  <si>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</si>
  <si>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</si>
  <si>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</si>
  <si>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</si>
  <si>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</si>
  <si>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</si>
  <si>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</si>
  <si>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</si>
  <si>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</si>
  <si>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</si>
  <si>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</si>
  <si>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</si>
  <si>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</si>
  <si>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</si>
  <si>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</si>
  <si>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</si>
  <si>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</si>
  <si>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</si>
  <si>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</si>
  <si>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</si>
  <si>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</si>
  <si>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</si>
  <si>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</si>
  <si>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</si>
  <si>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</si>
  <si>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</si>
  <si>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</si>
  <si>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</si>
  <si>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</si>
  <si>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</si>
  <si>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</si>
  <si>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</si>
  <si>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</si>
  <si>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</si>
  <si>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</si>
  <si>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</si>
  <si>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</si>
  <si>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</si>
  <si>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</si>
  <si>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</si>
  <si>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</si>
  <si>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</si>
  <si>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</si>
  <si>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</si>
  <si>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</si>
  <si>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</si>
  <si>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</si>
  <si>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</si>
  <si>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</si>
  <si>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</si>
  <si>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</si>
  <si>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</si>
  <si>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</si>
  <si>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</si>
  <si>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</si>
  <si>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</si>
  <si>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</si>
  <si>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</si>
  <si>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</si>
  <si>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</si>
  <si>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</si>
  <si>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</si>
  <si>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</si>
  <si>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</si>
  <si>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</si>
  <si>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</si>
  <si>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</si>
  <si>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</si>
  <si>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</si>
  <si>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</si>
  <si>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</si>
  <si>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</si>
  <si>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</si>
  <si>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</si>
  <si>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</si>
  <si>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</si>
  <si>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</si>
  <si>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</si>
  <si>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</si>
  <si>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</si>
  <si>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</si>
  <si>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</si>
  <si>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</si>
  <si>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</si>
  <si>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</si>
  <si>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</si>
  <si>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</si>
  <si>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</si>
  <si>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</si>
  <si>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</si>
  <si>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</si>
  <si>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</si>
  <si>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</si>
  <si>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</si>
  <si>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</si>
  <si>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</si>
  <si>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</si>
  <si>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</si>
  <si>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</si>
  <si>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</si>
  <si>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</si>
  <si>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</si>
  <si>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</si>
  <si>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</si>
  <si>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</si>
  <si>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</si>
  <si>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</si>
  <si>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</si>
  <si>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</si>
  <si>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</si>
  <si>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</si>
  <si>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</si>
  <si>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</si>
  <si>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</si>
  <si>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</si>
  <si>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</si>
  <si>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</si>
  <si>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</si>
  <si>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</si>
  <si>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</si>
  <si>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</si>
  <si>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3,6 Previdência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</si>
  <si>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</si>
  <si>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</si>
  <si>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</si>
  <si>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</si>
  <si>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</si>
  <si>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</si>
  <si>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</si>
  <si>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</si>
  <si>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</si>
  <si>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</si>
  <si>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</si>
  <si>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</si>
  <si>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</si>
  <si>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</si>
  <si>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</si>
  <si>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</si>
  <si>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</si>
  <si>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</si>
  <si>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</si>
  <si>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</si>
  <si>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</si>
  <si>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</si>
  <si>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</si>
  <si>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</si>
  <si>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</si>
  <si>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</si>
  <si>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</si>
  <si>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</si>
  <si>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</si>
  <si>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</si>
  <si>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</si>
  <si>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</si>
  <si>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</si>
  <si>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</si>
  <si>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</si>
  <si>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</si>
  <si>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</si>
  <si>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</si>
  <si>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</si>
  <si>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</si>
  <si>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</si>
  <si>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</si>
  <si>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</si>
  <si>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</si>
  <si>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</si>
  <si>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</si>
  <si>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</si>
  <si>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</si>
  <si>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</si>
  <si>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4,05 Despesas Administrativas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</si>
  <si>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</si>
  <si>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</si>
  <si>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</si>
  <si>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</si>
  <si>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</si>
  <si>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</si>
  <si>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</si>
  <si>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</si>
  <si>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</si>
  <si>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</si>
  <si>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</si>
  <si>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</si>
  <si>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</si>
  <si>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</si>
  <si>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</si>
  <si>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</si>
  <si>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</si>
  <si>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</si>
  <si>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</si>
  <si>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</si>
  <si>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</si>
  <si>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</si>
  <si>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</si>
  <si>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</si>
  <si>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</si>
  <si>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</si>
  <si>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</si>
  <si>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</si>
  <si>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</si>
  <si>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</si>
  <si>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</si>
  <si>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</si>
  <si>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</si>
  <si>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</si>
  <si>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</si>
  <si>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</si>
  <si>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</si>
  <si>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</si>
  <si>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</si>
  <si>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/4</t>
  </si>
  <si>
    <t>Receita líquida</t>
  </si>
  <si>
    <t xml:space="preserve">Comissões </t>
  </si>
  <si>
    <t>Receita final escritorio</t>
  </si>
  <si>
    <t>Custo Igor</t>
  </si>
  <si>
    <t>Comissão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</si>
  <si>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</si>
  <si>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</si>
  <si>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</si>
  <si>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</si>
  <si>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</si>
  <si>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</si>
  <si>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</si>
  <si>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</si>
  <si>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</si>
  <si>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</si>
  <si>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</si>
  <si>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</si>
  <si>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</si>
  <si>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</si>
  <si>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</si>
  <si>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</si>
  <si>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</si>
  <si>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</si>
  <si>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</si>
  <si>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</si>
  <si>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</si>
  <si>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</si>
  <si>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</si>
  <si>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</si>
  <si>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</si>
  <si>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</si>
  <si>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</si>
  <si>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</si>
  <si>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</si>
  <si>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</si>
  <si>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</si>
  <si>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</si>
  <si>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</si>
  <si>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</si>
  <si>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</si>
  <si>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</si>
  <si>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</si>
  <si>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</si>
  <si>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</si>
  <si>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</si>
  <si>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</si>
  <si>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</si>
  <si>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</si>
  <si>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</si>
  <si>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</si>
  <si>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</si>
  <si>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</si>
  <si>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</si>
  <si>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</si>
  <si>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</si>
  <si>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</si>
  <si>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</si>
  <si>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</si>
  <si>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</si>
  <si>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</si>
  <si>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</si>
  <si>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</si>
  <si>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</si>
  <si>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</si>
  <si>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</si>
  <si>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</si>
  <si>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</si>
  <si>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</si>
  <si>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</si>
  <si>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</si>
  <si>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</si>
  <si>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</si>
  <si>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</si>
  <si>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</si>
  <si>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</si>
  <si>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</si>
  <si>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</si>
  <si>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</si>
  <si>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</si>
  <si>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</si>
  <si>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</si>
  <si>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</si>
  <si>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</si>
  <si>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</si>
  <si>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</si>
  <si>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</si>
  <si>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</si>
  <si>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</si>
  <si>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</si>
  <si>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ChatGPT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</si>
  <si>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</si>
  <si>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</si>
  <si>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</si>
  <si>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</si>
  <si>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</si>
  <si>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</si>
  <si>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</si>
  <si>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</si>
  <si>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</si>
  <si>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</si>
  <si>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</si>
  <si>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</si>
  <si>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</si>
  <si>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</si>
  <si>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</si>
  <si>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</si>
  <si>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</si>
  <si>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</si>
  <si>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</si>
  <si>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</si>
  <si>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</si>
  <si>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</si>
  <si>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</si>
  <si>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</si>
  <si>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</si>
  <si>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</si>
  <si>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</si>
  <si>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</si>
  <si>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</si>
  <si>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</si>
  <si>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</si>
  <si>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</si>
  <si>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</si>
  <si>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</si>
  <si>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</si>
  <si>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</si>
  <si>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</si>
  <si>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</si>
  <si>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</si>
  <si>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</si>
  <si>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</si>
  <si>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</si>
  <si>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</si>
  <si>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</si>
  <si>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</si>
  <si>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</si>
  <si>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</si>
  <si>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</si>
  <si>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</si>
  <si>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</si>
  <si>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</si>
  <si>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</si>
  <si>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</si>
  <si>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</si>
  <si>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</si>
  <si>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</si>
  <si>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</si>
  <si>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</si>
  <si>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</si>
  <si>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</si>
  <si>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</si>
  <si>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</si>
  <si>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</si>
  <si>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</si>
  <si>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</si>
  <si>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</si>
  <si>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</si>
  <si>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</si>
  <si>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</si>
  <si>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</si>
  <si>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</si>
  <si>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</si>
  <si>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</si>
  <si>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</si>
  <si>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</si>
  <si>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</si>
  <si>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Salário Igor Araujo - Tesouro Maro Grosso</t>
  </si>
  <si>
    <t>Comissão Cristiano - Tesouro Maro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</si>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</sst>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7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06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9" fontId="39" fillId="34" borderId="0" xfId="0" applyNumberFormat="1" applyFont="1" applyFill="1" applyAlignment="1">
      <alignment horizontal="center"/>
    </xf>
    <xf numFmtId="177" fontId="39" fillId="34" borderId="0" xfId="0" applyNumberFormat="1" applyFont="1" applyFill="1"/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32" fillId="21" borderId="9" xfId="0" applyFont="1" applyFill="1" applyBorder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6" fillId="20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38" fillId="22" borderId="12" xfId="0" applyFont="1" applyFill="1" applyBorder="1" applyAlignment="1">
      <alignment horizontal="center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53"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52"/>
      <tableStyleElement type="headerRow" dxfId="151"/>
      <tableStyleElement type="firstColumnStripe" dxfId="150"/>
    </tableStyle>
    <tableStyle name="Andlz 2" pivot="0" table="0" count="11" xr9:uid="{69C24C8D-A778-CD4F-8B53-78F9858E7773}">
      <tableStyleElement type="wholeTable" dxfId="149"/>
      <tableStyleElement type="headerRow" dxfId="148"/>
      <tableStyleElement type="firstColumnStripe" dxfId="147"/>
    </tableStyle>
    <tableStyle name="Andlz 3" pivot="0" table="0" count="11" xr9:uid="{05CC0CA3-BB76-3A47-8C44-1617A2FCBD04}">
      <tableStyleElement type="wholeTable" dxfId="146"/>
      <tableStyleElement type="headerRow" dxfId="145"/>
      <tableStyleElement type="firstColumnStripe" dxfId="144"/>
    </tableStyle>
    <tableStyle name="Andlz 4" pivot="0" table="0" count="11" xr9:uid="{4F2F3057-8C17-3344-90F1-F559A4084FE2}">
      <tableStyleElement type="wholeTable" dxfId="143"/>
      <tableStyleElement type="headerRow" dxfId="142"/>
      <tableStyleElement type="firstColumnStripe" dxfId="141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Caixa!$F$6:$J$6</c:f>
              <c:numCache>
                <c:formatCode>"R$ "#,##0.00</c:formatCode>
                <c:ptCount val="5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256047.53413629677</c:v>
                </c:pt>
                <c:pt idx="2">
                  <c:v>293824.87120256713</c:v>
                </c:pt>
                <c:pt idx="3">
                  <c:v>295705.41660908179</c:v>
                </c:pt>
                <c:pt idx="4">
                  <c:v>300509.6089412634</c:v>
                </c:pt>
                <c:pt idx="5">
                  <c:v>280556.30485941371</c:v>
                </c:pt>
                <c:pt idx="6">
                  <c:v>285057.51495660201</c:v>
                </c:pt>
                <c:pt idx="7">
                  <c:v>251628.87379322914</c:v>
                </c:pt>
                <c:pt idx="8">
                  <c:v>255551.53526909373</c:v>
                </c:pt>
                <c:pt idx="9">
                  <c:v>259552.64997447559</c:v>
                </c:pt>
                <c:pt idx="10">
                  <c:v>263633.78697396512</c:v>
                </c:pt>
                <c:pt idx="11">
                  <c:v>267796.5467134444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295046.17000000004</c:v>
                </c:pt>
                <c:pt idx="1">
                  <c:v>237394.00000000003</c:v>
                </c:pt>
                <c:pt idx="2">
                  <c:v>274171.35000000009</c:v>
                </c:pt>
                <c:pt idx="3">
                  <c:v>300220.63000000012</c:v>
                </c:pt>
                <c:pt idx="4" formatCode="General">
                  <c:v>280659.47000000009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-199589.29569184981</c:v>
                </c:pt>
                <c:pt idx="1">
                  <c:v>-137961.5079576892</c:v>
                </c:pt>
                <c:pt idx="2">
                  <c:v>-144874.59008546331</c:v>
                </c:pt>
                <c:pt idx="3">
                  <c:v>-195694.38698869682</c:v>
                </c:pt>
                <c:pt idx="4">
                  <c:v>-148684.89059652018</c:v>
                </c:pt>
                <c:pt idx="5">
                  <c:v>-137311.50726986583</c:v>
                </c:pt>
                <c:pt idx="6">
                  <c:v>-192483.4768498487</c:v>
                </c:pt>
                <c:pt idx="7">
                  <c:v>-120822.87156214062</c:v>
                </c:pt>
                <c:pt idx="8">
                  <c:v>-123058.78860338344</c:v>
                </c:pt>
                <c:pt idx="9">
                  <c:v>-172873.69942658659</c:v>
                </c:pt>
                <c:pt idx="10">
                  <c:v>-127665.67207516012</c:v>
                </c:pt>
                <c:pt idx="11">
                  <c:v>-130038.44512666333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-199415.55</c:v>
                </c:pt>
                <c:pt idx="1">
                  <c:v>-124090.19</c:v>
                </c:pt>
                <c:pt idx="2">
                  <c:v>-138181.44</c:v>
                </c:pt>
                <c:pt idx="3">
                  <c:v>-198046.43999999997</c:v>
                </c:pt>
                <c:pt idx="4" formatCode="General">
                  <c:v>-128726.11000000002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-64908.31</c:v>
                </c:pt>
                <c:pt idx="1">
                  <c:v>-65198.560419534093</c:v>
                </c:pt>
                <c:pt idx="2">
                  <c:v>-65490.108751554879</c:v>
                </c:pt>
                <c:pt idx="3">
                  <c:v>-65782.960799936234</c:v>
                </c:pt>
                <c:pt idx="4">
                  <c:v>-66077.12239450519</c:v>
                </c:pt>
                <c:pt idx="5">
                  <c:v>-66372.599391158015</c:v>
                </c:pt>
                <c:pt idx="6">
                  <c:v>-66669.397671976782</c:v>
                </c:pt>
                <c:pt idx="7">
                  <c:v>-66967.52314534648</c:v>
                </c:pt>
                <c:pt idx="8">
                  <c:v>-67266.981746072575</c:v>
                </c:pt>
                <c:pt idx="9">
                  <c:v>-67567.779435499237</c:v>
                </c:pt>
                <c:pt idx="10">
                  <c:v>-67869.922201627953</c:v>
                </c:pt>
                <c:pt idx="11">
                  <c:v>-68173.41605923677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-64872.260000000009</c:v>
                </c:pt>
                <c:pt idx="1">
                  <c:v>-63769.759999999995</c:v>
                </c:pt>
                <c:pt idx="2">
                  <c:v>-66416.09</c:v>
                </c:pt>
                <c:pt idx="3">
                  <c:v>-64575.130000000019</c:v>
                </c:pt>
                <c:pt idx="4" formatCode="General">
                  <c:v>-85976.890000000014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14761.422661289253</c:v>
                </c:pt>
                <c:pt idx="1">
                  <c:v>52887.465759073479</c:v>
                </c:pt>
                <c:pt idx="2">
                  <c:v>83460.172365548933</c:v>
                </c:pt>
                <c:pt idx="3">
                  <c:v>34228.068820448738</c:v>
                </c:pt>
                <c:pt idx="4">
                  <c:v>85747.595950238028</c:v>
                </c:pt>
                <c:pt idx="5">
                  <c:v>76872.198198389859</c:v>
                </c:pt>
                <c:pt idx="6">
                  <c:v>25904.640434776535</c:v>
                </c:pt>
                <c:pt idx="7">
                  <c:v>63838.479085742045</c:v>
                </c:pt>
                <c:pt idx="8">
                  <c:v>65225.764919637717</c:v>
                </c:pt>
                <c:pt idx="9">
                  <c:v>19111.171112389755</c:v>
                </c:pt>
                <c:pt idx="10">
                  <c:v>68098.19269717703</c:v>
                </c:pt>
                <c:pt idx="11">
                  <c:v>69584.685527544323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30758.360000000048</c:v>
                </c:pt>
                <c:pt idx="1">
                  <c:v>49534.050000000047</c:v>
                </c:pt>
                <c:pt idx="2">
                  <c:v>69573.820000000109</c:v>
                </c:pt>
                <c:pt idx="3">
                  <c:v>37599.060000000129</c:v>
                </c:pt>
                <c:pt idx="4" formatCode="General">
                  <c:v>65956.47000000003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-23332.250000000004</c:v>
                </c:pt>
                <c:pt idx="2">
                  <c:v>-25476.399999999987</c:v>
                </c:pt>
                <c:pt idx="3">
                  <c:v>-21131.769999999997</c:v>
                </c:pt>
                <c:pt idx="4" formatCode="General">
                  <c:v>-19711.419999999998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-8594.0573387107434</c:v>
                </c:pt>
                <c:pt idx="1">
                  <c:v>29427.547084450463</c:v>
                </c:pt>
                <c:pt idx="2">
                  <c:v>59895.347997994686</c:v>
                </c:pt>
                <c:pt idx="3">
                  <c:v>10557.869653289792</c:v>
                </c:pt>
                <c:pt idx="4">
                  <c:v>61971.55077909711</c:v>
                </c:pt>
                <c:pt idx="5">
                  <c:v>52989.833711805579</c:v>
                </c:pt>
                <c:pt idx="6">
                  <c:v>1915.4812047811756</c:v>
                </c:pt>
                <c:pt idx="7">
                  <c:v>39742.047558397142</c:v>
                </c:pt>
                <c:pt idx="8">
                  <c:v>41021.581405527388</c:v>
                </c:pt>
                <c:pt idx="9">
                  <c:v>-5201.2462229285375</c:v>
                </c:pt>
                <c:pt idx="10">
                  <c:v>43677.057551589707</c:v>
                </c:pt>
                <c:pt idx="11">
                  <c:v>45054.346418373512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7276.8600000000515</c:v>
                </c:pt>
                <c:pt idx="1">
                  <c:v>26201.800000000043</c:v>
                </c:pt>
                <c:pt idx="2">
                  <c:v>44097.420000000129</c:v>
                </c:pt>
                <c:pt idx="3">
                  <c:v>16467.290000000132</c:v>
                </c:pt>
                <c:pt idx="4" formatCode="General">
                  <c:v>46245.050000000025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-9711.0934521232994</c:v>
                </c:pt>
                <c:pt idx="1">
                  <c:v>28403.356947905275</c:v>
                </c:pt>
                <c:pt idx="2">
                  <c:v>58720.048513184418</c:v>
                </c:pt>
                <c:pt idx="3">
                  <c:v>9375.047986853464</c:v>
                </c:pt>
                <c:pt idx="4">
                  <c:v>60769.512343332055</c:v>
                </c:pt>
                <c:pt idx="5">
                  <c:v>51867.608492367923</c:v>
                </c:pt>
                <c:pt idx="6">
                  <c:v>775.2511449547676</c:v>
                </c:pt>
                <c:pt idx="7">
                  <c:v>38735.532063224222</c:v>
                </c:pt>
                <c:pt idx="8">
                  <c:v>39999.37526445101</c:v>
                </c:pt>
                <c:pt idx="9">
                  <c:v>-6239.4568228264397</c:v>
                </c:pt>
                <c:pt idx="10">
                  <c:v>42622.522403693845</c:v>
                </c:pt>
                <c:pt idx="11">
                  <c:v>43983.160231519738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6022.6300000000538</c:v>
                </c:pt>
                <c:pt idx="1">
                  <c:v>25230.490000000045</c:v>
                </c:pt>
                <c:pt idx="2">
                  <c:v>43760.270000000128</c:v>
                </c:pt>
                <c:pt idx="3">
                  <c:v>15718.780000000135</c:v>
                </c:pt>
                <c:pt idx="4" formatCode="General">
                  <c:v>47049.180000000022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-10056.854927006381</c:v>
                </c:pt>
                <c:pt idx="2">
                  <c:v>-11540.646597508725</c:v>
                </c:pt>
                <c:pt idx="3">
                  <c:v>-11614.509337100269</c:v>
                </c:pt>
                <c:pt idx="4">
                  <c:v>-11803.205023974053</c:v>
                </c:pt>
                <c:pt idx="5">
                  <c:v>-11019.493182567334</c:v>
                </c:pt>
                <c:pt idx="6">
                  <c:v>-11196.288546350461</c:v>
                </c:pt>
                <c:pt idx="7">
                  <c:v>-9883.3018943952848</c:v>
                </c:pt>
                <c:pt idx="8">
                  <c:v>-10037.37343241497</c:v>
                </c:pt>
                <c:pt idx="9">
                  <c:v>-10194.526401195048</c:v>
                </c:pt>
                <c:pt idx="10">
                  <c:v>-10354.822429350726</c:v>
                </c:pt>
                <c:pt idx="11">
                  <c:v>-10518.324378069519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-20679.633120657287</c:v>
                </c:pt>
                <c:pt idx="1">
                  <c:v>18346.502020898894</c:v>
                </c:pt>
                <c:pt idx="2">
                  <c:v>47179.401915675691</c:v>
                </c:pt>
                <c:pt idx="3">
                  <c:v>-2239.4613502468055</c:v>
                </c:pt>
                <c:pt idx="4">
                  <c:v>48966.307319358006</c:v>
                </c:pt>
                <c:pt idx="5">
                  <c:v>40848.115309800589</c:v>
                </c:pt>
                <c:pt idx="6">
                  <c:v>-10421.037401395693</c:v>
                </c:pt>
                <c:pt idx="7">
                  <c:v>28852.230168828937</c:v>
                </c:pt>
                <c:pt idx="8">
                  <c:v>29962.00183203604</c:v>
                </c:pt>
                <c:pt idx="9">
                  <c:v>-16433.983224021489</c:v>
                </c:pt>
                <c:pt idx="10">
                  <c:v>32267.699974343119</c:v>
                </c:pt>
                <c:pt idx="11">
                  <c:v>33464.835853450219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-4213.9399999999459</c:v>
                </c:pt>
                <c:pt idx="1">
                  <c:v>15111.240000000045</c:v>
                </c:pt>
                <c:pt idx="2">
                  <c:v>35020.690000000126</c:v>
                </c:pt>
                <c:pt idx="3">
                  <c:v>5081.9200000001347</c:v>
                </c:pt>
                <c:pt idx="4" formatCode="General">
                  <c:v>37779.150000000023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-20679.633120657287</c:v>
                </c:pt>
                <c:pt idx="1">
                  <c:v>18346.502020898894</c:v>
                </c:pt>
                <c:pt idx="2">
                  <c:v>47179.401915675691</c:v>
                </c:pt>
                <c:pt idx="3">
                  <c:v>-2239.4613502468055</c:v>
                </c:pt>
                <c:pt idx="4">
                  <c:v>48966.307319358006</c:v>
                </c:pt>
                <c:pt idx="5">
                  <c:v>40848.115309800589</c:v>
                </c:pt>
                <c:pt idx="6">
                  <c:v>-10421.037401395693</c:v>
                </c:pt>
                <c:pt idx="7">
                  <c:v>28852.230168828937</c:v>
                </c:pt>
                <c:pt idx="8">
                  <c:v>29962.00183203604</c:v>
                </c:pt>
                <c:pt idx="9">
                  <c:v>-16433.983224021489</c:v>
                </c:pt>
                <c:pt idx="10">
                  <c:v>32267.699974343119</c:v>
                </c:pt>
                <c:pt idx="11">
                  <c:v>33464.835853450219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-4213.9399999999459</c:v>
                </c:pt>
                <c:pt idx="1">
                  <c:v>15111.240000000045</c:v>
                </c:pt>
                <c:pt idx="2">
                  <c:v>35020.690000000126</c:v>
                </c:pt>
                <c:pt idx="3">
                  <c:v>5081.9200000001347</c:v>
                </c:pt>
                <c:pt idx="4" formatCode="General">
                  <c:v>37779.150000000023</c:v>
                </c:pt>
                <c:pt idx="5" formatCode="General">
                  <c:v>#N/A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Receita'!$E$4:$E$56</c:f>
              <c:numCache>
                <c:formatCode>"R$ "#,##0.00</c:formatCode>
                <c:ptCount val="53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295046.17000000004</c:v>
                </c:pt>
                <c:pt idx="49">
                  <c:v>237394.00000000003</c:v>
                </c:pt>
                <c:pt idx="50">
                  <c:v>274171.35000000009</c:v>
                </c:pt>
                <c:pt idx="51">
                  <c:v>300220.63000000012</c:v>
                </c:pt>
                <c:pt idx="52">
                  <c:v>280659.47000000009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Receita'!$I$4:$I$56</c:f>
              <c:numCache>
                <c:formatCode>"R$ "#,##0.00</c:formatCode>
                <c:ptCount val="53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347857.60000000033</c:v>
                </c:pt>
                <c:pt idx="49">
                  <c:v>362968.84000000037</c:v>
                </c:pt>
                <c:pt idx="50">
                  <c:v>397989.53000000049</c:v>
                </c:pt>
                <c:pt idx="51">
                  <c:v>403071.45000000065</c:v>
                </c:pt>
                <c:pt idx="52">
                  <c:v>440850.60000000068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Receita'!$R$4:$R$58</c:f>
              <c:numCache>
                <c:formatCode>"R$ "#,##0.00</c:formatCode>
                <c:ptCount val="55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45917.990000000224</c:v>
                </c:pt>
                <c:pt idx="52">
                  <c:v>42861.07000000016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Receita'!$S$4:$S$58</c:f>
              <c:numCache>
                <c:formatCode>"R$ "#,##0.00</c:formatCode>
                <c:ptCount val="55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Receita'!$L$4:$L$56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Receita'!$M$4:$M$56</c:f>
              <c:numCache>
                <c:formatCode>"R$ "#,##0.00</c:formatCode>
                <c:ptCount val="53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15111.240000000045</c:v>
                </c:pt>
                <c:pt idx="50">
                  <c:v>35020.690000000126</c:v>
                </c:pt>
                <c:pt idx="51">
                  <c:v>5081.9200000001347</c:v>
                </c:pt>
                <c:pt idx="52">
                  <c:v>37779.150000000023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Receita'!$L$4:$L$56</c:f>
              <c:numCache>
                <c:formatCode>mmm\-yy</c:formatCode>
                <c:ptCount val="53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-4213.9399999999459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Receita'!$D$40:$D$56</c:f>
              <c:numCache>
                <c:formatCode>mmm\-yy</c:formatCode>
                <c:ptCount val="17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</c:numCache>
            </c:numRef>
          </c:cat>
          <c:val>
            <c:numRef>
              <c:f>'H. Receita'!$I$40:$I$56</c:f>
              <c:numCache>
                <c:formatCode>"R$ "#,##0.00</c:formatCode>
                <c:ptCount val="17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347857.60000000033</c:v>
                </c:pt>
                <c:pt idx="13">
                  <c:v>362968.84000000037</c:v>
                </c:pt>
                <c:pt idx="14">
                  <c:v>397989.53000000049</c:v>
                </c:pt>
                <c:pt idx="15">
                  <c:v>403071.45000000065</c:v>
                </c:pt>
                <c:pt idx="16">
                  <c:v>440850.60000000068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Receita'!$D$40:$D$56</c:f>
              <c:numCache>
                <c:formatCode>mmm\-yy</c:formatCode>
                <c:ptCount val="17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</c:numCache>
            </c:numRef>
          </c:cat>
          <c:val>
            <c:numRef>
              <c:f>'H. Receita'!$J$40:$J$56</c:f>
              <c:numCache>
                <c:formatCode>"R$ "#,##0.00</c:formatCode>
                <c:ptCount val="17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AuM!$B$75:$B$80</c:f>
              <c:strCache>
                <c:ptCount val="6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</c:strCache>
            </c:strRef>
          </c:cat>
          <c:val>
            <c:numRef>
              <c:f>AuM!$C$75:$C$80</c:f>
              <c:numCache>
                <c:formatCode>"R$ "#,##0.00</c:formatCode>
                <c:ptCount val="6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6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Planejamento</c:v>
                </c:pt>
                <c:pt idx="4">
                  <c:v>Consórcio</c:v>
                </c:pt>
                <c:pt idx="5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0.66458853937489082</c:v>
                </c:pt>
                <c:pt idx="1">
                  <c:v>0.13840727617382115</c:v>
                </c:pt>
                <c:pt idx="2">
                  <c:v>5.4314146819093787E-2</c:v>
                </c:pt>
                <c:pt idx="3">
                  <c:v>3.813625351693449E-2</c:v>
                </c:pt>
                <c:pt idx="4">
                  <c:v>3.8232554989972113E-2</c:v>
                </c:pt>
                <c:pt idx="5">
                  <c:v>4.9558173845319027E-2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Gastos!$AC$15:$AC$30</c:f>
              <c:strCache>
                <c:ptCount val="16"/>
                <c:pt idx="0">
                  <c:v>Encargos</c:v>
                </c:pt>
                <c:pt idx="1">
                  <c:v>Imobilizados e equipamentos</c:v>
                </c:pt>
                <c:pt idx="2">
                  <c:v>Despesas regulatórias</c:v>
                </c:pt>
                <c:pt idx="3">
                  <c:v>Despesas com Vendas</c:v>
                </c:pt>
                <c:pt idx="4">
                  <c:v>Investimento estratégico</c:v>
                </c:pt>
                <c:pt idx="5">
                  <c:v>Despesas com Diretoria</c:v>
                </c:pt>
                <c:pt idx="6">
                  <c:v>Sem centro de custo</c:v>
                </c:pt>
                <c:pt idx="7">
                  <c:v>Estornos</c:v>
                </c:pt>
                <c:pt idx="8">
                  <c:v>Despesas Comerciais</c:v>
                </c:pt>
                <c:pt idx="9">
                  <c:v>Despesas com serviços</c:v>
                </c:pt>
                <c:pt idx="10">
                  <c:v>Despesas com Colaboradores</c:v>
                </c:pt>
                <c:pt idx="11">
                  <c:v>Despesas com Imóvel</c:v>
                </c:pt>
                <c:pt idx="12">
                  <c:v>Despesas Administrativas</c:v>
                </c:pt>
                <c:pt idx="13">
                  <c:v>Despesas Financeiras</c:v>
                </c:pt>
                <c:pt idx="14">
                  <c:v>Despesas com Sistemas</c:v>
                </c:pt>
                <c:pt idx="15">
                  <c:v>Despesas com Salários e Encargos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Gastos!$AC$15:$AC$30</c:f>
              <c:strCache>
                <c:ptCount val="16"/>
                <c:pt idx="0">
                  <c:v>Encargos</c:v>
                </c:pt>
                <c:pt idx="1">
                  <c:v>Imobilizados e equipamentos</c:v>
                </c:pt>
                <c:pt idx="2">
                  <c:v>Despesas regulatórias</c:v>
                </c:pt>
                <c:pt idx="3">
                  <c:v>Despesas com Vendas</c:v>
                </c:pt>
                <c:pt idx="4">
                  <c:v>Investimento estratégico</c:v>
                </c:pt>
                <c:pt idx="5">
                  <c:v>Despesas com Diretoria</c:v>
                </c:pt>
                <c:pt idx="6">
                  <c:v>Sem centro de custo</c:v>
                </c:pt>
                <c:pt idx="7">
                  <c:v>Estornos</c:v>
                </c:pt>
                <c:pt idx="8">
                  <c:v>Despesas Comerciais</c:v>
                </c:pt>
                <c:pt idx="9">
                  <c:v>Despesas com serviços</c:v>
                </c:pt>
                <c:pt idx="10">
                  <c:v>Despesas com Colaboradores</c:v>
                </c:pt>
                <c:pt idx="11">
                  <c:v>Despesas com Imóvel</c:v>
                </c:pt>
                <c:pt idx="12">
                  <c:v>Despesas Administrativas</c:v>
                </c:pt>
                <c:pt idx="13">
                  <c:v>Despesas Financeiras</c:v>
                </c:pt>
                <c:pt idx="14">
                  <c:v>Despesas com Sistemas</c:v>
                </c:pt>
                <c:pt idx="15">
                  <c:v>Despesas com Salários e Encargos</c:v>
                </c:pt>
              </c:strCache>
            </c:strRef>
          </c:cat>
          <c:val>
            <c:numRef>
              <c:f>Gastos!$AE$15:$AE$30</c:f>
              <c:numCache>
                <c:formatCode>"R$ "#,##0.00</c:formatCode>
                <c:ptCount val="16"/>
                <c:pt idx="0">
                  <c:v>0.8</c:v>
                </c:pt>
                <c:pt idx="1">
                  <c:v>836.98</c:v>
                </c:pt>
                <c:pt idx="2">
                  <c:v>0</c:v>
                </c:pt>
                <c:pt idx="3">
                  <c:v>2841.95</c:v>
                </c:pt>
                <c:pt idx="4">
                  <c:v>3135.5699999999997</c:v>
                </c:pt>
                <c:pt idx="5">
                  <c:v>0</c:v>
                </c:pt>
                <c:pt idx="6">
                  <c:v>6672.6999999999989</c:v>
                </c:pt>
                <c:pt idx="7">
                  <c:v>9927.89</c:v>
                </c:pt>
                <c:pt idx="8">
                  <c:v>1283.45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10936.86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373867.02249264834</c:v>
                </c:pt>
                <c:pt idx="1">
                  <c:v>388821.70339235425</c:v>
                </c:pt>
                <c:pt idx="2">
                  <c:v>404374.57152804843</c:v>
                </c:pt>
                <c:pt idx="3">
                  <c:v>420549.55438917037</c:v>
                </c:pt>
                <c:pt idx="4">
                  <c:v>437371.53656473721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419040</xdr:colOff>
      <xdr:row>21</xdr:row>
      <xdr:rowOff>12600</xdr:rowOff>
    </xdr:from>
    <xdr:to>
      <xdr:col>17</xdr:col>
      <xdr:colOff>405000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15770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43993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30240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7</xdr:col>
      <xdr:colOff>1879600</xdr:colOff>
      <xdr:row>3</xdr:row>
      <xdr:rowOff>0</xdr:rowOff>
    </xdr:from>
    <xdr:to>
      <xdr:col>18</xdr:col>
      <xdr:colOff>476827</xdr:colOff>
      <xdr:row>10</xdr:row>
      <xdr:rowOff>190501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entro de custos 1">
              <a:extLst>
                <a:ext uri="{FF2B5EF4-FFF2-40B4-BE49-F238E27FC236}">
                  <a16:creationId xmlns:a16="http://schemas.microsoft.com/office/drawing/2014/main" id="{FA990BEA-8080-B8BB-040A-21AE628DA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90000" y="609600"/>
              <a:ext cx="11493500" cy="16129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139700</xdr:colOff>
      <xdr:row>3</xdr:row>
      <xdr:rowOff>0</xdr:rowOff>
    </xdr:from>
    <xdr:to>
      <xdr:col>7</xdr:col>
      <xdr:colOff>1714500</xdr:colOff>
      <xdr:row>11</xdr:row>
      <xdr:rowOff>12701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nsultor">
              <a:extLst>
                <a:ext uri="{FF2B5EF4-FFF2-40B4-BE49-F238E27FC236}">
                  <a16:creationId xmlns:a16="http://schemas.microsoft.com/office/drawing/2014/main" id="{579262E0-7ED6-D4C9-7ADB-03E7AEBFBC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81500" y="609600"/>
              <a:ext cx="4343400" cy="163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75</xdr:row>
      <xdr:rowOff>246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receitas%20maio%2026.xlsx" TargetMode="External"/><Relationship Id="rId1" Type="http://schemas.openxmlformats.org/officeDocument/2006/relationships/externalLinkPath" Target="/Users/victorgaioso/Downloads/receitas%20mai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Salários YTD"/>
    </sheetNames>
    <sheetDataSet>
      <sheetData sheetId="0" refreshError="1"/>
      <sheetData sheetId="1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5426.4</v>
          </cell>
          <cell r="N7">
            <v>5426.4</v>
          </cell>
          <cell r="O7">
            <v>5426.4</v>
          </cell>
          <cell r="P7">
            <v>5426.4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1093</v>
          </cell>
          <cell r="N8">
            <v>1093</v>
          </cell>
          <cell r="O8">
            <v>1093</v>
          </cell>
          <cell r="P8">
            <v>1093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  <cell r="N10">
            <v>29.7</v>
          </cell>
          <cell r="O10">
            <v>29.7</v>
          </cell>
          <cell r="P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314.12</v>
          </cell>
          <cell r="N11">
            <v>314.12</v>
          </cell>
          <cell r="O11">
            <v>314.12</v>
          </cell>
          <cell r="P11">
            <v>314.12</v>
          </cell>
        </row>
        <row r="12">
          <cell r="F12">
            <v>3486.04</v>
          </cell>
          <cell r="K12">
            <v>3500</v>
          </cell>
        </row>
        <row r="13">
          <cell r="O13">
            <v>2625</v>
          </cell>
          <cell r="P13">
            <v>2625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2310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847.3</v>
          </cell>
          <cell r="L16">
            <v>847.3</v>
          </cell>
          <cell r="M16">
            <v>847.3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3389.4</v>
          </cell>
          <cell r="L24">
            <v>3389.4</v>
          </cell>
          <cell r="M24">
            <v>3389.4</v>
          </cell>
          <cell r="N24">
            <v>3389.4</v>
          </cell>
          <cell r="O24">
            <v>3389.4</v>
          </cell>
          <cell r="P24">
            <v>3389.4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  <cell r="K25">
            <v>847.3</v>
          </cell>
          <cell r="L25">
            <v>847.3</v>
          </cell>
          <cell r="M25">
            <v>847.3</v>
          </cell>
          <cell r="N25">
            <v>847.3</v>
          </cell>
          <cell r="O25">
            <v>847.3</v>
          </cell>
          <cell r="P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  <cell r="K26">
            <v>231</v>
          </cell>
          <cell r="L26">
            <v>231</v>
          </cell>
          <cell r="M26">
            <v>231</v>
          </cell>
          <cell r="N26">
            <v>231</v>
          </cell>
          <cell r="O26">
            <v>231</v>
          </cell>
          <cell r="P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  <cell r="K27">
            <v>89.1</v>
          </cell>
          <cell r="L27">
            <v>89.1</v>
          </cell>
          <cell r="M27">
            <v>89.1</v>
          </cell>
          <cell r="N27">
            <v>89.1</v>
          </cell>
          <cell r="O27">
            <v>89.1</v>
          </cell>
          <cell r="P27">
            <v>89.1</v>
          </cell>
        </row>
        <row r="29">
          <cell r="M29">
            <v>5600</v>
          </cell>
        </row>
        <row r="30">
          <cell r="O30">
            <v>1680</v>
          </cell>
          <cell r="P30">
            <v>1680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  <cell r="M32">
            <v>2129.4</v>
          </cell>
          <cell r="N32">
            <v>2129.4</v>
          </cell>
          <cell r="O32">
            <v>2129.4</v>
          </cell>
          <cell r="P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840</v>
          </cell>
          <cell r="L33">
            <v>840</v>
          </cell>
          <cell r="M33">
            <v>840</v>
          </cell>
          <cell r="N33">
            <v>840</v>
          </cell>
          <cell r="O33">
            <v>840</v>
          </cell>
          <cell r="P33">
            <v>840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231</v>
          </cell>
          <cell r="L34">
            <v>231</v>
          </cell>
          <cell r="M34">
            <v>231</v>
          </cell>
          <cell r="N34">
            <v>231</v>
          </cell>
          <cell r="O34">
            <v>231</v>
          </cell>
          <cell r="P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  <cell r="M35">
            <v>29.7</v>
          </cell>
          <cell r="N35">
            <v>29.7</v>
          </cell>
          <cell r="O35">
            <v>29.7</v>
          </cell>
          <cell r="P35">
            <v>29.7</v>
          </cell>
        </row>
        <row r="37">
          <cell r="F37">
            <v>2580.7399999999998</v>
          </cell>
        </row>
        <row r="38">
          <cell r="O38">
            <v>1050</v>
          </cell>
          <cell r="P38">
            <v>1050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840</v>
          </cell>
          <cell r="L41">
            <v>840</v>
          </cell>
          <cell r="M41">
            <v>840</v>
          </cell>
          <cell r="N41">
            <v>840</v>
          </cell>
          <cell r="O41">
            <v>840</v>
          </cell>
          <cell r="P41">
            <v>840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231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650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231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650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231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148BED16-49ED-D244-9C7E-876943F8687D}" sourceName="Centro de custos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sultor" xr10:uid="{8C82AFDF-ACA7-7E4F-9742-BAC627669928}" sourceName="consultor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s 1" xr10:uid="{FFA17F24-171C-6047-A677-56F216E1D315}" cache="SegmentaçãodeDados_Centro_de_custos2" caption="Centro de custos" columnCount="7" rowHeight="230716"/>
  <slicer name="consultor" xr10:uid="{BAF72CAC-1482-E441-97F1-9EFA7B8E6806}" cache="SegmentaçãodeDados_consultor" caption="consultor" columnCount="2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1" displayName="Tabela1" ref="G14:W142" totalsRowCount="1" totalsRowDxfId="140">
  <autoFilter ref="G14:W141" xr:uid="{00000000-0009-0000-0100-000001000000}"/>
  <sortState xmlns:xlrd2="http://schemas.microsoft.com/office/spreadsheetml/2017/richdata2" ref="G38:W141">
    <sortCondition descending="1" ref="P14:P141"/>
  </sortState>
  <tableColumns count="17">
    <tableColumn id="1" xr3:uid="{00000000-0010-0000-0200-000001000000}" name="Centro de custos" totalsRowDxfId="139"/>
    <tableColumn id="2" xr3:uid="{00000000-0010-0000-0200-000002000000}" name="Categoria" totalsRowDxfId="138"/>
    <tableColumn id="3" xr3:uid="{00000000-0010-0000-0200-000003000000}" name="consultor" totalsRowDxfId="137"/>
    <tableColumn id="4" xr3:uid="{00000000-0010-0000-0200-000004000000}" name="Coluna1" totalsRowFunction="sum" dataDxfId="136" totalsRowDxfId="135">
      <calculatedColumnFormula>SUM(Tabela1[[#This Row],[jan./26]:[dez./26]])</calculatedColumnFormula>
    </tableColumn>
    <tableColumn id="5" xr3:uid="{00000000-0010-0000-0200-000005000000}" name="100%" totalsRowFunction="sum" totalsRowDxfId="134"/>
    <tableColumn id="6" xr3:uid="{00000000-0010-0000-0200-000006000000}" name="jan./26" dataDxfId="133" totalsRowDxfId="132"/>
    <tableColumn id="7" xr3:uid="{00000000-0010-0000-0200-000007000000}" name="fev./26" dataDxfId="131" totalsRowDxfId="130"/>
    <tableColumn id="9" xr3:uid="{AABBF02E-246F-2943-880B-34452D6B51BA}" name="mar./26" dataDxfId="129" totalsRowDxfId="128"/>
    <tableColumn id="8" xr3:uid="{00000000-0010-0000-0200-000008000000}" name="abr./26" dataDxfId="127" totalsRowDxfId="126"/>
    <tableColumn id="10" xr3:uid="{EAB1B330-99DA-3248-A314-3831BFE2A743}" name="mai./26" totalsRowFunction="sum" dataDxfId="125" totalsRowDxfId="124">
      <calculatedColumnFormula>VLOOKUP(Tabela1[[#This Row],[Categoria]],[4]Planilha1!$B$3:$E$16,4,FALSE)</calculatedColumnFormula>
    </tableColumn>
    <tableColumn id="11" xr3:uid="{B6400945-D01B-DC4E-B35C-18AA298CDD6C}" name="jun./26" dataDxfId="123" totalsRowDxfId="122"/>
    <tableColumn id="12" xr3:uid="{3E94630B-C6C3-AE4C-9D9C-9FC6D3AAFE0F}" name="jul./26" dataDxfId="121" totalsRowDxfId="120"/>
    <tableColumn id="13" xr3:uid="{8A08E242-3F78-434D-AA4E-71D707845A06}" name="ago./26" dataDxfId="119" totalsRowDxfId="118"/>
    <tableColumn id="14" xr3:uid="{1488188E-82BB-A040-BE55-098B625FA87D}" name="set./26" dataDxfId="117" totalsRowDxfId="116"/>
    <tableColumn id="15" xr3:uid="{6BD1CE9C-3587-EA43-A66E-8DB33FAE6FD0}" name="out./26" dataDxfId="115" totalsRowDxfId="114"/>
    <tableColumn id="16" xr3:uid="{A45A99EE-5478-5A46-ACFF-60E7732A2E36}" name="nov./26" dataDxfId="113" totalsRowDxfId="112"/>
    <tableColumn id="17" xr3:uid="{51770A9B-D122-D549-99A0-206A077F6532}" name="dez./26" dataDxfId="111" totalsRow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2" totalsRowCount="1">
  <autoFilter ref="Y29:AA51" xr:uid="{00000000-0009-0000-0100-000003000000}"/>
  <sortState xmlns:xlrd2="http://schemas.microsoft.com/office/spreadsheetml/2017/richdata2" ref="Y30:AA51">
    <sortCondition descending="1" ref="Z29:Z51"/>
  </sortState>
  <tableColumns count="3">
    <tableColumn id="1" xr3:uid="{00000000-0010-0000-0300-000001000000}" name="Centro de custo" totalsRowLabel="Total" dataDxfId="109" totalsRowDxfId="108"/>
    <tableColumn id="2" xr3:uid="{00000000-0010-0000-0300-000002000000}" name="%" totalsRowFunction="sum" totalsRowDxfId="107">
      <calculatedColumnFormula>AA30/$J$135</calculatedColumnFormula>
    </tableColumn>
    <tableColumn id="3" xr3:uid="{00000000-0010-0000-0300-000003000000}" name="R$" totalsRowFunction="sum" totalsRowDxfId="106">
      <calculatedColumnFormula>SUMIF($G$15:$G$141,Y30,$J$15:$J$141)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D14:AD34"/>
  </sortState>
  <tableColumns count="3">
    <tableColumn id="1" xr3:uid="{00000000-0010-0000-0400-000001000000}" name="Centro de Custos" totalsRowLabel="Total" totalsRowDxfId="105"/>
    <tableColumn id="2" xr3:uid="{00000000-0010-0000-0400-000002000000}" name="%" totalsRowFunction="sum" totalsRowDxfId="104"/>
    <tableColumn id="3" xr3:uid="{00000000-0010-0000-0400-000003000000}" name="Valor" totalsRowFunction="sum" totalsRowDxfId="10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28" totalsRowCount="1" totalsRowDxfId="102">
  <autoFilter ref="F14:AA127" xr:uid="{00000000-0009-0000-0100-000006000000}"/>
  <sortState xmlns:xlrd2="http://schemas.microsoft.com/office/spreadsheetml/2017/richdata2" ref="F15:AA127">
    <sortCondition ref="K14:K127"/>
  </sortState>
  <tableColumns count="22">
    <tableColumn id="1" xr3:uid="{00000000-0010-0000-0600-000001000000}" name="Empresa" totalsRowLabel="Total" totalsRowDxfId="101"/>
    <tableColumn id="2" xr3:uid="{00000000-0010-0000-0600-000002000000}" name="Centro de custos" totalsRowDxfId="100"/>
    <tableColumn id="3" xr3:uid="{00000000-0010-0000-0600-000003000000}" name="Categoria" totalsRowDxfId="99"/>
    <tableColumn id="10" xr3:uid="{BAA97004-D35C-B34D-A848-E2E809C9E0A1}" name="Destino" dataDxfId="98" totalsRowDxfId="97"/>
    <tableColumn id="11" xr3:uid="{5748DA56-ED3D-2142-9256-492A8D49FC84}" name="Natureza" dataDxfId="96" totalsRowDxfId="95"/>
    <tableColumn id="12" xr3:uid="{1F8C8E0B-7B4F-2F41-BD3E-B6207E1597C0}" name="Utilidade" dataDxfId="94" totalsRowDxfId="93"/>
    <tableColumn id="13" xr3:uid="{358B4DBE-BA25-2741-99DA-246AD9CDB40D}" name="Obs" dataDxfId="92" totalsRowDxfId="91"/>
    <tableColumn id="14" xr3:uid="{79081247-EB07-1E4D-9E8A-72F1A825AC8A}" name="Média" totalsRowFunction="sum" dataDxfId="90" totalsRowDxfId="89">
      <calculatedColumnFormula>AVERAGE(Tabela8[[#This Row],[jan./26]:[dez/26]])</calculatedColumnFormula>
    </tableColumn>
    <tableColumn id="4" xr3:uid="{00000000-0010-0000-0600-000004000000}" name="YTD" totalsRowFunction="sum" totalsRowDxfId="88">
      <calculatedColumnFormula>SUM(Tabela8[[#This Row],[jan./26]:[dez/26]])</calculatedColumnFormula>
    </tableColumn>
    <tableColumn id="5" xr3:uid="{00000000-0010-0000-0600-000005000000}" name="100%" totalsRowFunction="sum" totalsRowDxfId="87"/>
    <tableColumn id="6" xr3:uid="{00000000-0010-0000-0600-000006000000}" name="jan./26" totalsRowFunction="sum" dataDxfId="86" totalsRowDxfId="85"/>
    <tableColumn id="7" xr3:uid="{00000000-0010-0000-0600-000007000000}" name="fev./26" totalsRowFunction="sum" dataDxfId="84" totalsRowDxfId="83"/>
    <tableColumn id="8" xr3:uid="{00000000-0010-0000-0600-000008000000}" name="mar./26" totalsRowFunction="sum" dataDxfId="82" totalsRowDxfId="81"/>
    <tableColumn id="9" xr3:uid="{00000000-0010-0000-0600-000009000000}" name="abr./26" totalsRowFunction="sum" dataDxfId="80" totalsRowDxfId="79"/>
    <tableColumn id="15" xr3:uid="{FDDCA405-118D-9449-BDBF-9C7C40F72DBF}" name="mai/26" totalsRowFunction="sum" dataDxfId="78" totalsRowDxfId="77"/>
    <tableColumn id="16" xr3:uid="{C69C506A-D73A-2E44-ADE6-2EE1608757E1}" name="jun/26" totalsRowFunction="sum" dataDxfId="76" totalsRowDxfId="75"/>
    <tableColumn id="17" xr3:uid="{05171C8F-D6BD-0C42-A401-40D79BAD4862}" name="jul/26" totalsRowFunction="sum" dataDxfId="74" totalsRowDxfId="73"/>
    <tableColumn id="18" xr3:uid="{9E9ED4AB-2B85-EA48-9DF5-E55BB0C5C446}" name="ago/26" totalsRowFunction="sum" dataDxfId="72" totalsRowDxfId="71"/>
    <tableColumn id="19" xr3:uid="{3C6323D0-3831-2448-AD29-AAE75A232848}" name="set/26" totalsRowFunction="sum" dataDxfId="70" totalsRowDxfId="69"/>
    <tableColumn id="20" xr3:uid="{D47B3FDF-016A-6844-A033-C6CF5E813821}" name="out/26" totalsRowFunction="sum" dataDxfId="68" totalsRowDxfId="67"/>
    <tableColumn id="21" xr3:uid="{376ACAF0-01C1-1944-9D9E-8A1C18A42F02}" name="nov/26" totalsRowFunction="sum" dataDxfId="66" totalsRowDxfId="65"/>
    <tableColumn id="22" xr3:uid="{1EE0E33D-8669-9940-985C-20ED056693D8}" name="dez/26" totalsRowFunction="sum" dataDxfId="64" totalsRowDxfId="6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62">
  <autoFilter ref="AC38:AD48" xr:uid="{56A3A1B2-3AD2-324A-8343-8748FCA245E5}"/>
  <tableColumns count="2">
    <tableColumn id="1" xr3:uid="{A61FCBEA-BBD2-8146-BD90-DA89F078B5FF}" name="Consultor" totalsRowLabel="Total" dataDxfId="61" totalsRowDxfId="60"/>
    <tableColumn id="2" xr3:uid="{700CB55E-A07A-1646-B9AA-D97A9EE764D9}" name="Total" totalsRowFunction="sum" dataDxfId="59" totalsRowDxfId="58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57" dataDxfId="56">
  <autoFilter ref="AG14:AJ33" xr:uid="{6CB670A0-F49C-DA4B-81BB-5DD1E6B518A9}"/>
  <tableColumns count="4">
    <tableColumn id="1" xr3:uid="{EE1880B1-4338-BD40-9AF2-A218F3AB3EE5}" name="Destino" totalsRowLabel="Total" dataDxfId="55" totalsRowDxfId="54"/>
    <tableColumn id="2" xr3:uid="{3379F72A-B2CA-4F4A-89F5-21BA29A71D19}" name="R$" totalsRowFunction="sum" dataDxfId="53" totalsRowDxfId="52">
      <calculatedColumnFormula>SUMIF(Tabela8[Destino],Tabela10[[#This Row],[Destino]],Tabela8[YTD])</calculatedColumnFormula>
    </tableColumn>
    <tableColumn id="4" xr3:uid="{8CE33079-5ADD-0947-86CD-7B1800C9E6EA}" name="Coluna1" totalsRowFunction="sum" dataDxfId="51" totalsRowDxfId="50">
      <calculatedColumnFormula>Tabela10[[#This Row],[R$]]/4</calculatedColumnFormula>
    </tableColumn>
    <tableColumn id="3" xr3:uid="{978E1586-9A15-0542-A0A8-B3B95763380A}" name="%" dataDxfId="49" totalsRowDxfId="48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47" dataDxfId="46">
  <autoFilter ref="AL14:AO19" xr:uid="{1C1D956F-F518-C445-920F-073B042398A2}"/>
  <tableColumns count="4">
    <tableColumn id="1" xr3:uid="{26F479D7-9348-D944-8762-F8EED16FBF95}" name="Natureza" totalsRowLabel="Total" dataDxfId="45" totalsRowDxfId="44"/>
    <tableColumn id="2" xr3:uid="{BA1F7373-0DFB-8E44-A34D-4C8DB653C8A5}" name="R$" totalsRowFunction="sum" dataDxfId="43" totalsRowDxfId="42">
      <calculatedColumnFormula>SUMIF(Tabela8[Natureza],Tabela11[[#This Row],[Natureza]],Tabela8[YTD])</calculatedColumnFormula>
    </tableColumn>
    <tableColumn id="4" xr3:uid="{D40E5632-C648-BC41-B8EB-5F4ECF6E8EE4}" name="/4" totalsRowFunction="sum" dataDxfId="41" totalsRowDxfId="40">
      <calculatedColumnFormula>Tabela11[[#This Row],[R$]]/4</calculatedColumnFormula>
    </tableColumn>
    <tableColumn id="3" xr3:uid="{4354E7FD-81CA-7242-A391-C99FCBAABFB5}" name="%" dataDxfId="39" totalsRowDxfId="38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37" dataDxfId="36">
  <autoFilter ref="AL26:AO33" xr:uid="{B1E63430-37FC-4C43-9393-246F4A2208D6}"/>
  <tableColumns count="4">
    <tableColumn id="1" xr3:uid="{34DA6249-C349-024A-9110-04604D3EDACE}" name="Utilidade" totalsRowLabel="Total" dataDxfId="35" totalsRowDxfId="34"/>
    <tableColumn id="2" xr3:uid="{7AC05CA7-881C-7044-BA95-EC7091EC887E}" name="R$" totalsRowFunction="sum" dataDxfId="33" totalsRowDxfId="32">
      <calculatedColumnFormula>SUMIF(Tabela8[Utilidade],Tabela12[[#This Row],[Utilidade]],Tabela8[YTD])</calculatedColumnFormula>
    </tableColumn>
    <tableColumn id="5" xr3:uid="{36BEA06B-0562-1549-80D3-A17AA3418FA8}" name="/4" totalsRowFunction="sum" dataDxfId="31" totalsRowDxfId="30">
      <calculatedColumnFormula>Tabela12[[#This Row],[R$]]/4</calculatedColumnFormula>
    </tableColumn>
    <tableColumn id="3" xr3:uid="{42033DA4-4025-F847-B785-B892773950A8}" name="%" dataDxfId="29" totalsRowDxfId="28" dataCellStyle="Porcentagem" totalsRow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27" totalsRowDxfId="26"/>
    <tableColumn id="2" xr3:uid="{9DA54C49-C7F4-A848-8182-9F2126DDCAC3}" name="%" dataDxfId="25" totalsRowDxfId="24"/>
    <tableColumn id="3" xr3:uid="{BDAF6979-3949-9244-989A-33A73FF11A98}" name="R$" totalsRowFunction="sum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O61"/>
  <sheetViews>
    <sheetView zoomScale="92" zoomScaleNormal="92" workbookViewId="0">
      <selection activeCell="O14" sqref="O14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0</v>
      </c>
      <c r="H2" s="249">
        <f>Consolidated!K4</f>
        <v>0</v>
      </c>
      <c r="I2" s="249">
        <f>Consolidated!L4</f>
        <v>0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6.0432467877540887E-4</v>
      </c>
      <c r="C3" s="247">
        <f t="shared" ref="C3:M3" si="0">IF(C9&gt;0,C9/C2,0)</f>
        <v>5.8172018630057055E-4</v>
      </c>
      <c r="D3" s="247">
        <f t="shared" si="0"/>
        <v>5.9644960557085614E-4</v>
      </c>
      <c r="E3" s="247">
        <f t="shared" si="0"/>
        <v>6.139194182700566E-4</v>
      </c>
      <c r="F3" s="247">
        <f t="shared" si="0"/>
        <v>6.2722929642959049E-4</v>
      </c>
      <c r="G3" s="247">
        <f t="shared" si="0"/>
        <v>0</v>
      </c>
      <c r="H3" s="247">
        <f t="shared" si="0"/>
        <v>0</v>
      </c>
      <c r="I3" s="247">
        <f t="shared" si="0"/>
        <v>0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7.276048515305833E-3</v>
      </c>
      <c r="C4" s="247">
        <f t="shared" ref="C4:M4" si="1">IF(C3&lt;&gt;0,(1+C3)^(12/1)-1,"")</f>
        <v>7.0030198927995002E-3</v>
      </c>
      <c r="D4" s="247">
        <f t="shared" si="1"/>
        <v>7.1809216516756091E-3</v>
      </c>
      <c r="E4" s="247">
        <f t="shared" si="1"/>
        <v>7.3919591996398637E-3</v>
      </c>
      <c r="F4" s="247">
        <f>IF(F3&lt;&gt;0,(1+F3)^(12/1)-1,"")</f>
        <v>7.552771416535542E-3</v>
      </c>
      <c r="G4" s="247" t="str">
        <f t="shared" si="1"/>
        <v/>
      </c>
      <c r="H4" s="247" t="str">
        <f t="shared" si="1"/>
        <v/>
      </c>
      <c r="I4" s="247" t="str">
        <f t="shared" si="1"/>
        <v/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531</v>
      </c>
      <c r="C7" s="293" t="s">
        <v>530</v>
      </c>
      <c r="D7" s="293" t="s">
        <v>529</v>
      </c>
      <c r="E7" s="293" t="s">
        <v>528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252457.44000000003</v>
      </c>
      <c r="C8" s="292">
        <v>203028.90000000002</v>
      </c>
      <c r="D8" s="292">
        <v>229550.54000000007</v>
      </c>
      <c r="E8" s="292">
        <v>263580.3600000001</v>
      </c>
      <c r="F8" s="292">
        <v>236239.19000000003</v>
      </c>
      <c r="G8" s="292"/>
      <c r="H8" s="292"/>
      <c r="I8" s="292"/>
      <c r="J8" s="292"/>
      <c r="K8" s="292"/>
      <c r="L8" s="292"/>
      <c r="M8" s="292"/>
      <c r="N8" s="292">
        <f>SUM(B8:M8)</f>
        <v>1184856.4300000002</v>
      </c>
    </row>
    <row r="9" spans="1:14">
      <c r="A9" s="295" t="s">
        <v>527</v>
      </c>
      <c r="B9" s="290">
        <v>175559.2</v>
      </c>
      <c r="C9" s="290">
        <v>177140.28000000006</v>
      </c>
      <c r="D9" s="290">
        <v>184550.54000000004</v>
      </c>
      <c r="E9" s="290">
        <v>191454.82000000007</v>
      </c>
      <c r="F9" s="290">
        <v>195739.19000000006</v>
      </c>
      <c r="G9" s="290"/>
      <c r="H9" s="290"/>
      <c r="I9" s="290"/>
      <c r="J9" s="290"/>
      <c r="K9" s="290"/>
      <c r="L9" s="290"/>
      <c r="M9" s="290"/>
      <c r="N9" s="290">
        <f t="shared" ref="N9:N49" si="2">SUM(B9:M9)</f>
        <v>924444.03000000026</v>
      </c>
    </row>
    <row r="10" spans="1:14">
      <c r="A10" s="202" t="s">
        <v>526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/>
      <c r="H10" s="200"/>
      <c r="I10" s="200"/>
      <c r="J10" s="200"/>
      <c r="K10" s="200"/>
      <c r="L10" s="200"/>
      <c r="M10" s="200"/>
      <c r="N10" s="200">
        <f t="shared" si="2"/>
        <v>57000</v>
      </c>
    </row>
    <row r="11" spans="1:14">
      <c r="A11" s="202" t="s">
        <v>525</v>
      </c>
      <c r="B11" s="200">
        <v>34000</v>
      </c>
      <c r="C11" s="200" t="s">
        <v>13</v>
      </c>
      <c r="D11" s="200">
        <v>34000</v>
      </c>
      <c r="E11" s="200">
        <v>34000</v>
      </c>
      <c r="F11" s="200">
        <v>34000</v>
      </c>
      <c r="G11" s="200"/>
      <c r="H11" s="200"/>
      <c r="I11" s="200"/>
      <c r="J11" s="200"/>
      <c r="K11" s="200"/>
      <c r="L11" s="200"/>
      <c r="M11" s="200"/>
      <c r="N11" s="200">
        <f t="shared" si="2"/>
        <v>136000</v>
      </c>
    </row>
    <row r="12" spans="1:14">
      <c r="A12" s="202" t="s">
        <v>524</v>
      </c>
      <c r="B12" s="200">
        <v>27823.239999999998</v>
      </c>
      <c r="C12" s="200">
        <v>6238.62</v>
      </c>
      <c r="D12" s="200" t="s">
        <v>13</v>
      </c>
      <c r="E12" s="200">
        <v>30425.54</v>
      </c>
      <c r="F12" s="200" t="s">
        <v>13</v>
      </c>
      <c r="G12" s="200"/>
      <c r="H12" s="200"/>
      <c r="I12" s="200"/>
      <c r="J12" s="200"/>
      <c r="K12" s="200"/>
      <c r="L12" s="200"/>
      <c r="M12" s="200"/>
      <c r="N12" s="200">
        <f>SUM(B12:M12)</f>
        <v>64487.4</v>
      </c>
    </row>
    <row r="13" spans="1:14">
      <c r="A13" s="202" t="s">
        <v>523</v>
      </c>
      <c r="B13" s="200">
        <v>375</v>
      </c>
      <c r="C13" s="200">
        <v>750</v>
      </c>
      <c r="D13" s="200">
        <v>600</v>
      </c>
      <c r="E13" s="200">
        <v>1200</v>
      </c>
      <c r="F13" s="200" t="s">
        <v>13</v>
      </c>
      <c r="G13" s="200"/>
      <c r="H13" s="200"/>
      <c r="I13" s="200"/>
      <c r="J13" s="200"/>
      <c r="K13" s="200"/>
      <c r="L13" s="200"/>
      <c r="M13" s="200"/>
      <c r="N13" s="200">
        <f t="shared" si="2"/>
        <v>2925</v>
      </c>
    </row>
    <row r="14" spans="1:14">
      <c r="A14" s="288" t="s">
        <v>522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/>
      <c r="H14" s="285"/>
      <c r="I14" s="285"/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252457.44000000003</v>
      </c>
      <c r="C15" s="292">
        <v>203028.90000000002</v>
      </c>
      <c r="D15" s="292">
        <v>229550.54000000007</v>
      </c>
      <c r="E15" s="292">
        <v>263580.3600000001</v>
      </c>
      <c r="F15" s="292">
        <v>236239.19000000003</v>
      </c>
      <c r="G15" s="292"/>
      <c r="H15" s="292"/>
      <c r="I15" s="292"/>
      <c r="J15" s="292"/>
      <c r="K15" s="292"/>
      <c r="L15" s="292"/>
      <c r="M15" s="292"/>
      <c r="N15" s="292">
        <f t="shared" si="2"/>
        <v>1184856.4300000002</v>
      </c>
    </row>
    <row r="16" spans="1:14">
      <c r="A16" s="289" t="s">
        <v>11</v>
      </c>
      <c r="B16" s="290">
        <v>-178342.78</v>
      </c>
      <c r="C16" s="290">
        <v>-106690.79</v>
      </c>
      <c r="D16" s="290">
        <v>-121072.98</v>
      </c>
      <c r="E16" s="290">
        <v>-171864.02</v>
      </c>
      <c r="F16" s="290">
        <v>-110761.27000000002</v>
      </c>
      <c r="G16" s="290"/>
      <c r="H16" s="290"/>
      <c r="I16" s="290"/>
      <c r="J16" s="290"/>
      <c r="K16" s="290"/>
      <c r="L16" s="290"/>
      <c r="M16" s="290"/>
      <c r="N16" s="290">
        <f t="shared" si="2"/>
        <v>-688731.84</v>
      </c>
    </row>
    <row r="17" spans="1:15">
      <c r="A17" s="202" t="s">
        <v>12</v>
      </c>
      <c r="B17" s="200">
        <v>-93724.28</v>
      </c>
      <c r="C17" s="200">
        <v>-19916.47</v>
      </c>
      <c r="D17" s="200">
        <v>-24947.439999999999</v>
      </c>
      <c r="E17" s="200">
        <v>-82672.13</v>
      </c>
      <c r="F17" s="200">
        <v>-20948.04</v>
      </c>
      <c r="G17" s="200"/>
      <c r="H17" s="200"/>
      <c r="I17" s="200"/>
      <c r="J17" s="200"/>
      <c r="K17" s="200"/>
      <c r="L17" s="200"/>
      <c r="M17" s="200"/>
      <c r="N17" s="200">
        <f t="shared" si="2"/>
        <v>-242208.36000000002</v>
      </c>
      <c r="O17" s="241">
        <f>N17/N8</f>
        <v>-0.20442000724087725</v>
      </c>
    </row>
    <row r="18" spans="1:15">
      <c r="A18" s="202" t="s">
        <v>521</v>
      </c>
      <c r="B18" s="200">
        <v>-78563.009999999995</v>
      </c>
      <c r="C18" s="200">
        <v>-78042.820000000007</v>
      </c>
      <c r="D18" s="200">
        <v>-86512.28</v>
      </c>
      <c r="E18" s="200">
        <v>-81040.01999999999</v>
      </c>
      <c r="F18" s="200">
        <v>-80187.14</v>
      </c>
      <c r="G18" s="200"/>
      <c r="H18" s="200"/>
      <c r="I18" s="200"/>
      <c r="J18" s="200"/>
      <c r="K18" s="200"/>
      <c r="L18" s="200"/>
      <c r="M18" s="200"/>
      <c r="N18" s="200">
        <f t="shared" si="2"/>
        <v>-404345.27</v>
      </c>
    </row>
    <row r="19" spans="1:15">
      <c r="A19" s="202" t="s">
        <v>520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/>
      <c r="H19" s="200"/>
      <c r="I19" s="200"/>
      <c r="J19" s="200"/>
      <c r="K19" s="200"/>
      <c r="L19" s="200"/>
      <c r="M19" s="200"/>
      <c r="N19" s="200">
        <f t="shared" si="2"/>
        <v>-33351.040000000001</v>
      </c>
    </row>
    <row r="20" spans="1:15">
      <c r="A20" s="202" t="s">
        <v>519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/>
      <c r="H20" s="200"/>
      <c r="I20" s="200"/>
      <c r="J20" s="200"/>
      <c r="K20" s="200"/>
      <c r="L20" s="200"/>
      <c r="M20" s="200"/>
      <c r="N20" s="200">
        <f t="shared" si="2"/>
        <v>-5870.43</v>
      </c>
    </row>
    <row r="21" spans="1:15">
      <c r="A21" s="202" t="s">
        <v>518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/>
      <c r="H21" s="200"/>
      <c r="I21" s="200"/>
      <c r="J21" s="200"/>
      <c r="K21" s="200"/>
      <c r="L21" s="200"/>
      <c r="M21" s="200"/>
      <c r="N21" s="200">
        <f t="shared" si="2"/>
        <v>-1425.64</v>
      </c>
    </row>
    <row r="22" spans="1:15">
      <c r="A22" s="288" t="s">
        <v>517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/>
      <c r="H22" s="285"/>
      <c r="I22" s="285"/>
      <c r="J22" s="285"/>
      <c r="K22" s="285"/>
      <c r="L22" s="285"/>
      <c r="M22" s="285"/>
      <c r="N22" s="285">
        <f t="shared" si="2"/>
        <v>-1531.1000000000001</v>
      </c>
    </row>
    <row r="23" spans="1:15">
      <c r="A23" s="291" t="s">
        <v>14</v>
      </c>
      <c r="B23" s="292">
        <v>74114.660000000033</v>
      </c>
      <c r="C23" s="292">
        <v>96338.11000000003</v>
      </c>
      <c r="D23" s="292">
        <v>108477.56000000007</v>
      </c>
      <c r="E23" s="292">
        <v>91716.340000000113</v>
      </c>
      <c r="F23" s="292">
        <v>125477.92000000001</v>
      </c>
      <c r="G23" s="292"/>
      <c r="H23" s="292"/>
      <c r="I23" s="292"/>
      <c r="J23" s="292"/>
      <c r="K23" s="292"/>
      <c r="L23" s="292"/>
      <c r="M23" s="292"/>
      <c r="N23" s="292">
        <f t="shared" si="2"/>
        <v>496124.59000000032</v>
      </c>
    </row>
    <row r="24" spans="1:15">
      <c r="A24" s="289" t="s">
        <v>15</v>
      </c>
      <c r="B24" s="290">
        <v>-46347.640000000007</v>
      </c>
      <c r="C24" s="290">
        <v>-41520.579999999994</v>
      </c>
      <c r="D24" s="290">
        <v>-50482.04</v>
      </c>
      <c r="E24" s="290">
        <v>-47406.540000000023</v>
      </c>
      <c r="F24" s="290">
        <v>-65064.040000000023</v>
      </c>
      <c r="G24" s="290"/>
      <c r="H24" s="290"/>
      <c r="I24" s="290"/>
      <c r="J24" s="290"/>
      <c r="K24" s="290"/>
      <c r="L24" s="290"/>
      <c r="M24" s="290"/>
      <c r="N24" s="290">
        <f t="shared" si="2"/>
        <v>-250820.84000000008</v>
      </c>
    </row>
    <row r="25" spans="1:15">
      <c r="A25" s="202" t="s">
        <v>516</v>
      </c>
      <c r="B25" s="200">
        <v>-7033.05</v>
      </c>
      <c r="C25" s="200">
        <v>-12901.529999999999</v>
      </c>
      <c r="D25" s="200">
        <v>-11096.46</v>
      </c>
      <c r="E25" s="200">
        <v>-11040.539999999999</v>
      </c>
      <c r="F25" s="200">
        <v>-11691.38</v>
      </c>
      <c r="G25" s="200"/>
      <c r="H25" s="200"/>
      <c r="I25" s="200"/>
      <c r="J25" s="200"/>
      <c r="K25" s="200"/>
      <c r="L25" s="200"/>
      <c r="M25" s="200"/>
      <c r="N25" s="200">
        <f t="shared" si="2"/>
        <v>-53762.959999999992</v>
      </c>
    </row>
    <row r="26" spans="1:15">
      <c r="A26" s="202" t="s">
        <v>515</v>
      </c>
      <c r="B26" s="200">
        <v>-15303.939999999999</v>
      </c>
      <c r="C26" s="200">
        <v>-9519.0499999999993</v>
      </c>
      <c r="D26" s="200">
        <v>-13097.35</v>
      </c>
      <c r="E26" s="200">
        <v>-10678.38</v>
      </c>
      <c r="F26" s="200">
        <v>-9918.6999999999989</v>
      </c>
      <c r="G26" s="200"/>
      <c r="H26" s="200"/>
      <c r="I26" s="200"/>
      <c r="J26" s="200"/>
      <c r="K26" s="200"/>
      <c r="L26" s="200"/>
      <c r="M26" s="200"/>
      <c r="N26" s="200">
        <f t="shared" si="2"/>
        <v>-58517.419999999991</v>
      </c>
    </row>
    <row r="27" spans="1:15">
      <c r="A27" s="202" t="s">
        <v>514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-37735.460000000006</v>
      </c>
      <c r="G27" s="200"/>
      <c r="H27" s="200"/>
      <c r="I27" s="200"/>
      <c r="J27" s="200"/>
      <c r="K27" s="200"/>
      <c r="L27" s="200"/>
      <c r="M27" s="200"/>
      <c r="N27" s="200">
        <f t="shared" si="2"/>
        <v>-130020.19000000002</v>
      </c>
    </row>
    <row r="28" spans="1:15">
      <c r="A28" s="202" t="s">
        <v>513</v>
      </c>
      <c r="B28" s="200">
        <v>-1119.18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/>
      <c r="H28" s="200"/>
      <c r="I28" s="200"/>
      <c r="J28" s="200"/>
      <c r="K28" s="200"/>
      <c r="L28" s="200"/>
      <c r="M28" s="200"/>
      <c r="N28" s="200">
        <f t="shared" si="2"/>
        <v>-1119.18</v>
      </c>
    </row>
    <row r="29" spans="1:15">
      <c r="A29" s="288" t="s">
        <v>512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/>
      <c r="H29" s="285"/>
      <c r="I29" s="285"/>
      <c r="J29" s="285"/>
      <c r="K29" s="285"/>
      <c r="L29" s="285"/>
      <c r="M29" s="285"/>
      <c r="N29" s="285">
        <f t="shared" si="2"/>
        <v>-7401.09</v>
      </c>
    </row>
    <row r="30" spans="1:15">
      <c r="A30" s="291" t="s">
        <v>16</v>
      </c>
      <c r="B30" s="292">
        <v>27767.020000000026</v>
      </c>
      <c r="C30" s="292">
        <v>54817.530000000035</v>
      </c>
      <c r="D30" s="292">
        <v>57995.52000000007</v>
      </c>
      <c r="E30" s="292">
        <v>44309.80000000009</v>
      </c>
      <c r="F30" s="292">
        <v>60413.87999999999</v>
      </c>
      <c r="G30" s="292"/>
      <c r="H30" s="292"/>
      <c r="I30" s="292"/>
      <c r="J30" s="292"/>
      <c r="K30" s="292"/>
      <c r="L30" s="292"/>
      <c r="M30" s="292"/>
      <c r="N30" s="292">
        <f t="shared" si="2"/>
        <v>245303.75000000023</v>
      </c>
    </row>
    <row r="31" spans="1:15">
      <c r="A31" s="289" t="s">
        <v>17</v>
      </c>
      <c r="B31" s="290">
        <v>-22722.729999999996</v>
      </c>
      <c r="C31" s="290">
        <v>-21373.480000000003</v>
      </c>
      <c r="D31" s="290">
        <v>-24625.239999999987</v>
      </c>
      <c r="E31" s="290">
        <v>-20323.959999999995</v>
      </c>
      <c r="F31" s="290">
        <v>-18923.66</v>
      </c>
      <c r="G31" s="290"/>
      <c r="H31" s="290"/>
      <c r="I31" s="290"/>
      <c r="J31" s="290"/>
      <c r="K31" s="290"/>
      <c r="L31" s="290"/>
      <c r="M31" s="290"/>
      <c r="N31" s="290">
        <f t="shared" si="2"/>
        <v>-107969.06999999998</v>
      </c>
    </row>
    <row r="32" spans="1:15">
      <c r="A32" s="202" t="s">
        <v>511</v>
      </c>
      <c r="B32" s="200">
        <v>-10767.65</v>
      </c>
      <c r="C32" s="200">
        <v>-7850.2999999999993</v>
      </c>
      <c r="D32" s="200">
        <v>-8253.59</v>
      </c>
      <c r="E32" s="200">
        <v>-8252.4599999999991</v>
      </c>
      <c r="F32" s="200">
        <v>-8184.48</v>
      </c>
      <c r="G32" s="200"/>
      <c r="H32" s="200"/>
      <c r="I32" s="200"/>
      <c r="J32" s="200"/>
      <c r="K32" s="200"/>
      <c r="L32" s="200"/>
      <c r="M32" s="200"/>
      <c r="N32" s="200">
        <f t="shared" si="2"/>
        <v>-43308.479999999996</v>
      </c>
    </row>
    <row r="33" spans="1:14">
      <c r="A33" s="202" t="s">
        <v>510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/>
      <c r="H33" s="200"/>
      <c r="I33" s="200"/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509</v>
      </c>
      <c r="B34" s="200">
        <v>-4432.6099999999997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/>
      <c r="H34" s="200"/>
      <c r="I34" s="200"/>
      <c r="J34" s="200"/>
      <c r="K34" s="200"/>
      <c r="L34" s="200"/>
      <c r="M34" s="200"/>
      <c r="N34" s="200">
        <f t="shared" si="2"/>
        <v>-22904.369999999995</v>
      </c>
    </row>
    <row r="35" spans="1:14">
      <c r="A35" s="202" t="s">
        <v>508</v>
      </c>
      <c r="B35" s="200">
        <v>-2598.88</v>
      </c>
      <c r="C35" s="200">
        <v>-2204.37</v>
      </c>
      <c r="D35" s="200">
        <v>-5604.3599999999979</v>
      </c>
      <c r="E35" s="200">
        <v>-2982.44</v>
      </c>
      <c r="F35" s="200">
        <v>-1595.19</v>
      </c>
      <c r="G35" s="200"/>
      <c r="H35" s="200"/>
      <c r="I35" s="200"/>
      <c r="J35" s="200"/>
      <c r="K35" s="200"/>
      <c r="L35" s="200"/>
      <c r="M35" s="200"/>
      <c r="N35" s="200">
        <f t="shared" si="2"/>
        <v>-14985.239999999998</v>
      </c>
    </row>
    <row r="36" spans="1:14">
      <c r="A36" s="202" t="s">
        <v>507</v>
      </c>
      <c r="B36" s="200">
        <v>-2058.7799999999997</v>
      </c>
      <c r="C36" s="200">
        <v>-3995.8399999999992</v>
      </c>
      <c r="D36" s="200">
        <v>-3193.7400000000002</v>
      </c>
      <c r="E36" s="200">
        <v>-2495.5100000000002</v>
      </c>
      <c r="F36" s="200">
        <v>-2050.44</v>
      </c>
      <c r="G36" s="200"/>
      <c r="H36" s="200"/>
      <c r="I36" s="200"/>
      <c r="J36" s="200"/>
      <c r="K36" s="200"/>
      <c r="L36" s="200"/>
      <c r="M36" s="200"/>
      <c r="N36" s="200">
        <f t="shared" si="2"/>
        <v>-13794.31</v>
      </c>
    </row>
    <row r="37" spans="1:14">
      <c r="A37" s="202" t="s">
        <v>506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/>
      <c r="H37" s="200"/>
      <c r="I37" s="200"/>
      <c r="J37" s="200"/>
      <c r="K37" s="200"/>
      <c r="L37" s="200"/>
      <c r="M37" s="200"/>
      <c r="N37" s="200">
        <f t="shared" si="2"/>
        <v>-8442.369999999999</v>
      </c>
    </row>
    <row r="38" spans="1:14">
      <c r="A38" s="202" t="s">
        <v>505</v>
      </c>
      <c r="B38" s="200">
        <v>-906.8599999999999</v>
      </c>
      <c r="C38" s="200">
        <v>-906.86</v>
      </c>
      <c r="D38" s="200">
        <v>-906.8599999999999</v>
      </c>
      <c r="E38" s="200">
        <v>-906.8599999999999</v>
      </c>
      <c r="F38" s="200">
        <v>-906.86</v>
      </c>
      <c r="G38" s="200"/>
      <c r="H38" s="200"/>
      <c r="I38" s="200"/>
      <c r="J38" s="200"/>
      <c r="K38" s="200"/>
      <c r="L38" s="200"/>
      <c r="M38" s="200"/>
      <c r="N38" s="200">
        <f t="shared" si="2"/>
        <v>-4534.2999999999993</v>
      </c>
    </row>
    <row r="39" spans="1:14">
      <c r="A39" s="202" t="s">
        <v>504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/>
      <c r="H39" s="200"/>
      <c r="I39" s="200"/>
      <c r="J39" s="200"/>
      <c r="K39" s="200"/>
      <c r="L39" s="200"/>
      <c r="M39" s="200"/>
      <c r="N39" s="200">
        <f t="shared" si="2"/>
        <v>0</v>
      </c>
    </row>
    <row r="40" spans="1:14">
      <c r="A40" s="202" t="s">
        <v>503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/>
      <c r="H40" s="200"/>
      <c r="I40" s="200"/>
      <c r="J40" s="200"/>
      <c r="K40" s="200"/>
      <c r="L40" s="200"/>
      <c r="M40" s="200"/>
      <c r="N40" s="200">
        <f t="shared" si="2"/>
        <v>0</v>
      </c>
    </row>
    <row r="41" spans="1:14">
      <c r="A41" s="288" t="s">
        <v>502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/>
      <c r="H41" s="285"/>
      <c r="I41" s="285"/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5044.29000000003</v>
      </c>
      <c r="C42" s="292">
        <v>33444.050000000032</v>
      </c>
      <c r="D42" s="292">
        <v>33370.280000000086</v>
      </c>
      <c r="E42" s="292">
        <v>23985.840000000095</v>
      </c>
      <c r="F42" s="292">
        <v>41490.219999999987</v>
      </c>
      <c r="G42" s="292"/>
      <c r="H42" s="292"/>
      <c r="I42" s="292"/>
      <c r="J42" s="292"/>
      <c r="K42" s="292"/>
      <c r="L42" s="292"/>
      <c r="M42" s="292"/>
      <c r="N42" s="292">
        <f t="shared" si="2"/>
        <v>137334.68000000023</v>
      </c>
    </row>
    <row r="43" spans="1:14">
      <c r="A43" s="289" t="s">
        <v>19</v>
      </c>
      <c r="B43" s="290">
        <v>-1256.5699999999981</v>
      </c>
      <c r="C43" s="290">
        <v>-973.19999999999879</v>
      </c>
      <c r="D43" s="290">
        <v>-337.74999999999795</v>
      </c>
      <c r="E43" s="290">
        <v>-751.95999999999879</v>
      </c>
      <c r="F43" s="290">
        <v>804.12999999999988</v>
      </c>
      <c r="G43" s="290"/>
      <c r="H43" s="290"/>
      <c r="I43" s="290"/>
      <c r="J43" s="290"/>
      <c r="K43" s="290"/>
      <c r="L43" s="290"/>
      <c r="M43" s="290"/>
      <c r="N43" s="290">
        <f t="shared" si="2"/>
        <v>-2515.349999999994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 t="s">
        <v>13</v>
      </c>
      <c r="G44" s="285"/>
      <c r="H44" s="285"/>
      <c r="I44" s="285"/>
      <c r="J44" s="285"/>
      <c r="K44" s="285"/>
      <c r="L44" s="285"/>
      <c r="M44" s="285"/>
      <c r="N44" s="285">
        <f t="shared" si="2"/>
        <v>14.57</v>
      </c>
    </row>
    <row r="45" spans="1:14">
      <c r="A45" s="291" t="s">
        <v>21</v>
      </c>
      <c r="B45" s="292">
        <v>3796.3500000000322</v>
      </c>
      <c r="C45" s="292">
        <v>32472.740000000034</v>
      </c>
      <c r="D45" s="292">
        <v>33033.130000000085</v>
      </c>
      <c r="E45" s="292">
        <v>23237.330000000096</v>
      </c>
      <c r="F45" s="292">
        <v>42294.349999999984</v>
      </c>
      <c r="G45" s="292"/>
      <c r="H45" s="292"/>
      <c r="I45" s="292"/>
      <c r="J45" s="292"/>
      <c r="K45" s="292"/>
      <c r="L45" s="292"/>
      <c r="M45" s="292"/>
      <c r="N45" s="292">
        <f t="shared" si="2"/>
        <v>134833.90000000023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/>
      <c r="H46" s="290"/>
      <c r="I46" s="290"/>
      <c r="J46" s="290"/>
      <c r="K46" s="290"/>
      <c r="L46" s="290"/>
      <c r="M46" s="290"/>
      <c r="N46" s="290">
        <f t="shared" si="2"/>
        <v>-49002.29</v>
      </c>
    </row>
    <row r="47" spans="1:14">
      <c r="A47" s="203" t="s">
        <v>537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/>
      <c r="H47" s="205"/>
      <c r="I47" s="205"/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538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/>
      <c r="H48" s="297"/>
      <c r="I48" s="297"/>
      <c r="J48" s="297"/>
      <c r="K48" s="297"/>
      <c r="L48" s="297"/>
      <c r="M48" s="297"/>
      <c r="N48" s="285">
        <f t="shared" si="2"/>
        <v>-48165.31</v>
      </c>
    </row>
    <row r="49" spans="1:14">
      <c r="A49" s="291" t="s">
        <v>23</v>
      </c>
      <c r="B49" s="292">
        <v>-6440.2199999999675</v>
      </c>
      <c r="C49" s="292">
        <v>22353.490000000034</v>
      </c>
      <c r="D49" s="292">
        <v>24293.550000000083</v>
      </c>
      <c r="E49" s="292">
        <v>12600.470000000096</v>
      </c>
      <c r="F49" s="292">
        <v>33024.319999999985</v>
      </c>
      <c r="G49" s="292"/>
      <c r="H49" s="292"/>
      <c r="I49" s="292"/>
      <c r="J49" s="292"/>
      <c r="K49" s="292"/>
      <c r="L49" s="292"/>
      <c r="M49" s="292"/>
      <c r="N49" s="292">
        <f t="shared" si="2"/>
        <v>85831.610000000233</v>
      </c>
    </row>
    <row r="53" spans="1:14">
      <c r="A53" s="13" t="s">
        <v>540</v>
      </c>
      <c r="B53" s="14">
        <f t="shared" ref="B53:N53" si="3">(B11*(1+$O$17))+B27</f>
        <v>5681.8397538101708</v>
      </c>
      <c r="C53" s="14">
        <f t="shared" si="3"/>
        <v>-19100</v>
      </c>
      <c r="D53" s="14">
        <f t="shared" si="3"/>
        <v>814.48975381017226</v>
      </c>
      <c r="E53" s="14">
        <f t="shared" si="3"/>
        <v>1468.0997538101619</v>
      </c>
      <c r="F53" s="14">
        <f t="shared" si="3"/>
        <v>-10685.740246189835</v>
      </c>
      <c r="G53" s="14">
        <f t="shared" si="3"/>
        <v>0</v>
      </c>
      <c r="H53" s="14">
        <f t="shared" si="3"/>
        <v>0</v>
      </c>
      <c r="I53" s="14">
        <f t="shared" si="3"/>
        <v>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-21821.31098475933</v>
      </c>
    </row>
    <row r="54" spans="1:14">
      <c r="A54" s="13" t="s">
        <v>234</v>
      </c>
      <c r="B54" s="14">
        <f>(B12*(1+$O$17))+B28</f>
        <v>21016.433077735332</v>
      </c>
      <c r="C54" s="14">
        <f t="shared" ref="C54:N54" si="4">(C12*(1+$O$17))+C28</f>
        <v>4963.3212544269181</v>
      </c>
      <c r="D54" s="14">
        <f t="shared" si="4"/>
        <v>0</v>
      </c>
      <c r="E54" s="14">
        <f t="shared" si="4"/>
        <v>24205.950892892401</v>
      </c>
      <c r="F54" s="14">
        <f t="shared" si="4"/>
        <v>0</v>
      </c>
      <c r="G54" s="14">
        <f t="shared" si="4"/>
        <v>0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50185.705225054655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0</v>
      </c>
      <c r="H58" s="259">
        <f t="shared" si="5"/>
        <v>0</v>
      </c>
      <c r="I58" s="259">
        <f t="shared" si="5"/>
        <v>0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554</v>
      </c>
      <c r="B59" s="250">
        <f>IF(B58&gt;0,B9/B2,"")</f>
        <v>6.0432467877540887E-4</v>
      </c>
      <c r="C59" s="250">
        <f t="shared" ref="C59:M59" si="6">IF(C58&gt;0,C9/C2,"")</f>
        <v>5.8172018630057055E-4</v>
      </c>
      <c r="D59" s="250">
        <f t="shared" si="6"/>
        <v>5.9644960557085614E-4</v>
      </c>
      <c r="E59" s="250">
        <f t="shared" si="6"/>
        <v>6.139194182700566E-4</v>
      </c>
      <c r="F59" s="250">
        <f t="shared" si="6"/>
        <v>6.2722929642959049E-4</v>
      </c>
      <c r="G59" s="250" t="str">
        <f t="shared" si="6"/>
        <v/>
      </c>
      <c r="H59" s="250" t="str">
        <f t="shared" si="6"/>
        <v/>
      </c>
      <c r="I59" s="250" t="str">
        <f t="shared" si="6"/>
        <v/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5.9910347222922309E-4</v>
      </c>
    </row>
    <row r="60" spans="1:14">
      <c r="A60" s="258" t="s">
        <v>555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 t="str">
        <f t="shared" si="7"/>
        <v/>
      </c>
      <c r="H60" s="250" t="str">
        <f t="shared" si="7"/>
        <v/>
      </c>
      <c r="I60" s="250" t="str">
        <f t="shared" si="7"/>
        <v/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27823.239999999998</v>
      </c>
      <c r="C61" s="249">
        <f t="shared" ref="C61:D61" si="8">C12</f>
        <v>6238.62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zoomScale="92" zoomScaleNormal="92" workbookViewId="0">
      <selection activeCell="B8" sqref="B8:F48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0</v>
      </c>
      <c r="H2" s="200">
        <f>Consolidated!K4</f>
        <v>0</v>
      </c>
      <c r="I2" s="200">
        <f>Consolidated!L4</f>
        <v>0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531</v>
      </c>
      <c r="C7" s="293" t="s">
        <v>530</v>
      </c>
      <c r="D7" s="293" t="s">
        <v>529</v>
      </c>
      <c r="E7" s="293" t="s">
        <v>528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42588.730000000025</v>
      </c>
      <c r="C8" s="292">
        <v>34365.100000000013</v>
      </c>
      <c r="D8" s="292">
        <v>44620.810000000041</v>
      </c>
      <c r="E8" s="292">
        <v>36640.270000000019</v>
      </c>
      <c r="F8" s="292">
        <v>44420.280000000028</v>
      </c>
      <c r="G8" s="292"/>
      <c r="H8" s="292"/>
      <c r="I8" s="292"/>
      <c r="J8" s="292"/>
      <c r="K8" s="292"/>
      <c r="L8" s="292"/>
      <c r="M8" s="292"/>
      <c r="N8" s="292">
        <f>SUM(B8:M8)</f>
        <v>202635.19000000012</v>
      </c>
    </row>
    <row r="9" spans="1:14">
      <c r="A9" s="295" t="s">
        <v>536</v>
      </c>
      <c r="B9" s="290">
        <v>2129.2400000000002</v>
      </c>
      <c r="C9" s="290">
        <v>4080.01</v>
      </c>
      <c r="D9" s="290">
        <v>7882.59</v>
      </c>
      <c r="E9" s="290">
        <v>3358.51</v>
      </c>
      <c r="F9" s="290">
        <v>4335.0199999999995</v>
      </c>
      <c r="G9" s="290"/>
      <c r="H9" s="290"/>
      <c r="I9" s="290"/>
      <c r="J9" s="290"/>
      <c r="K9" s="290"/>
      <c r="L9" s="290"/>
      <c r="M9" s="290"/>
      <c r="N9" s="290">
        <f t="shared" ref="N9:N47" si="0">SUM(B9:M9)</f>
        <v>21785.37</v>
      </c>
    </row>
    <row r="10" spans="1:14">
      <c r="A10" s="202" t="s">
        <v>535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/>
      <c r="H10" s="200"/>
      <c r="I10" s="200"/>
      <c r="J10" s="200"/>
      <c r="K10" s="200"/>
      <c r="L10" s="200"/>
      <c r="M10" s="200"/>
      <c r="N10" s="200">
        <f t="shared" si="0"/>
        <v>56387.999999999993</v>
      </c>
    </row>
    <row r="11" spans="1:14">
      <c r="A11" s="202" t="s">
        <v>534</v>
      </c>
      <c r="B11" s="200">
        <v>4958.3599999999997</v>
      </c>
      <c r="C11" s="200">
        <v>4860.2800000000016</v>
      </c>
      <c r="D11" s="200">
        <v>6325.2800000000016</v>
      </c>
      <c r="E11" s="200">
        <v>5913.9100000000008</v>
      </c>
      <c r="F11" s="200">
        <v>2187.119999999999</v>
      </c>
      <c r="G11" s="200"/>
      <c r="H11" s="200"/>
      <c r="I11" s="200"/>
      <c r="J11" s="200"/>
      <c r="K11" s="200"/>
      <c r="L11" s="200"/>
      <c r="M11" s="200"/>
      <c r="N11" s="200">
        <f t="shared" si="0"/>
        <v>24244.95</v>
      </c>
    </row>
    <row r="12" spans="1:14">
      <c r="A12" s="202" t="s">
        <v>533</v>
      </c>
      <c r="B12" s="200">
        <v>20365.390000000003</v>
      </c>
      <c r="C12" s="200">
        <v>11096.949999999995</v>
      </c>
      <c r="D12" s="200">
        <v>13782.609999999993</v>
      </c>
      <c r="E12" s="200">
        <v>11693.059999999998</v>
      </c>
      <c r="F12" s="200">
        <v>19858.71</v>
      </c>
      <c r="G12" s="200"/>
      <c r="H12" s="200"/>
      <c r="I12" s="200"/>
      <c r="J12" s="200"/>
      <c r="K12" s="200"/>
      <c r="L12" s="200"/>
      <c r="M12" s="200"/>
      <c r="N12" s="200">
        <f t="shared" si="0"/>
        <v>76796.719999999987</v>
      </c>
    </row>
    <row r="13" spans="1:14">
      <c r="A13" s="288" t="s">
        <v>532</v>
      </c>
      <c r="B13" s="285">
        <v>3858.1399999999994</v>
      </c>
      <c r="C13" s="285">
        <v>3050.26</v>
      </c>
      <c r="D13" s="285">
        <v>5352.7299999999987</v>
      </c>
      <c r="E13" s="285">
        <v>4397.1899999999996</v>
      </c>
      <c r="F13" s="285">
        <v>6761.83</v>
      </c>
      <c r="G13" s="285"/>
      <c r="H13" s="285"/>
      <c r="I13" s="285"/>
      <c r="J13" s="285"/>
      <c r="K13" s="285"/>
      <c r="L13" s="285"/>
      <c r="M13" s="285"/>
      <c r="N13" s="285">
        <f t="shared" si="0"/>
        <v>23420.149999999994</v>
      </c>
    </row>
    <row r="14" spans="1:14">
      <c r="A14" s="291" t="s">
        <v>10</v>
      </c>
      <c r="B14" s="292">
        <v>42588.730000000025</v>
      </c>
      <c r="C14" s="292">
        <v>34365.100000000013</v>
      </c>
      <c r="D14" s="292">
        <v>44620.810000000041</v>
      </c>
      <c r="E14" s="292">
        <v>36640.270000000019</v>
      </c>
      <c r="F14" s="292">
        <v>44420.280000000028</v>
      </c>
      <c r="G14" s="292"/>
      <c r="H14" s="292"/>
      <c r="I14" s="292"/>
      <c r="J14" s="292"/>
      <c r="K14" s="292"/>
      <c r="L14" s="292"/>
      <c r="M14" s="292"/>
      <c r="N14" s="292">
        <f t="shared" si="0"/>
        <v>202635.19000000012</v>
      </c>
    </row>
    <row r="15" spans="1:14">
      <c r="A15" s="289" t="s">
        <v>11</v>
      </c>
      <c r="B15" s="290">
        <v>-21072.770000000004</v>
      </c>
      <c r="C15" s="290">
        <v>-17399.400000000005</v>
      </c>
      <c r="D15" s="290">
        <v>-17108.460000000003</v>
      </c>
      <c r="E15" s="290">
        <v>-26182.419999999984</v>
      </c>
      <c r="F15" s="290">
        <v>-17964.839999999997</v>
      </c>
      <c r="G15" s="290"/>
      <c r="H15" s="290"/>
      <c r="I15" s="290"/>
      <c r="J15" s="290"/>
      <c r="K15" s="290"/>
      <c r="L15" s="290"/>
      <c r="M15" s="290"/>
      <c r="N15" s="290">
        <f t="shared" si="0"/>
        <v>-99727.89</v>
      </c>
    </row>
    <row r="16" spans="1:14">
      <c r="A16" s="202" t="s">
        <v>12</v>
      </c>
      <c r="B16" s="200">
        <v>-8389.2200000000012</v>
      </c>
      <c r="C16" s="200">
        <v>-1884.97</v>
      </c>
      <c r="D16" s="200">
        <v>-2396.9999999999995</v>
      </c>
      <c r="E16" s="200">
        <v>-8842.0299999999988</v>
      </c>
      <c r="F16" s="200">
        <v>-2316.2000000000003</v>
      </c>
      <c r="G16" s="200"/>
      <c r="H16" s="200"/>
      <c r="I16" s="200"/>
      <c r="J16" s="200"/>
      <c r="K16" s="200"/>
      <c r="L16" s="200"/>
      <c r="M16" s="200"/>
      <c r="N16" s="200">
        <f t="shared" si="0"/>
        <v>-23829.420000000002</v>
      </c>
    </row>
    <row r="17" spans="1:14">
      <c r="A17" s="202" t="s">
        <v>521</v>
      </c>
      <c r="B17" s="200">
        <v>-10887.619999999999</v>
      </c>
      <c r="C17" s="200">
        <v>-13833.49</v>
      </c>
      <c r="D17" s="200">
        <v>-11755.75</v>
      </c>
      <c r="E17" s="200">
        <v>-14623.74</v>
      </c>
      <c r="F17" s="200">
        <v>-11725.19</v>
      </c>
      <c r="G17" s="200"/>
      <c r="H17" s="200"/>
      <c r="I17" s="200"/>
      <c r="J17" s="200"/>
      <c r="K17" s="200"/>
      <c r="L17" s="200"/>
      <c r="M17" s="200"/>
      <c r="N17" s="200">
        <f t="shared" si="0"/>
        <v>-62825.79</v>
      </c>
    </row>
    <row r="18" spans="1:14">
      <c r="A18" s="202" t="s">
        <v>520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/>
      <c r="H18" s="200"/>
      <c r="I18" s="200"/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519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/>
      <c r="H19" s="200"/>
      <c r="I19" s="200"/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518</v>
      </c>
      <c r="B20" s="200">
        <v>-1163.7199999999998</v>
      </c>
      <c r="C20" s="200">
        <v>-1319.6100000000001</v>
      </c>
      <c r="D20" s="200">
        <v>-2497.98</v>
      </c>
      <c r="E20" s="200">
        <v>-1950.6299999999999</v>
      </c>
      <c r="F20" s="200">
        <v>-3298.79</v>
      </c>
      <c r="G20" s="200"/>
      <c r="H20" s="200"/>
      <c r="I20" s="200"/>
      <c r="J20" s="200"/>
      <c r="K20" s="200"/>
      <c r="L20" s="200"/>
      <c r="M20" s="200"/>
      <c r="N20" s="200">
        <f t="shared" si="0"/>
        <v>-10230.73</v>
      </c>
    </row>
    <row r="21" spans="1:14">
      <c r="A21" s="288" t="s">
        <v>517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/>
      <c r="H21" s="285"/>
      <c r="I21" s="285"/>
      <c r="J21" s="285"/>
      <c r="K21" s="285"/>
      <c r="L21" s="285"/>
      <c r="M21" s="285"/>
      <c r="N21" s="285">
        <f t="shared" si="0"/>
        <v>-2841.95</v>
      </c>
    </row>
    <row r="22" spans="1:14">
      <c r="A22" s="291" t="s">
        <v>14</v>
      </c>
      <c r="B22" s="292">
        <v>21515.960000000021</v>
      </c>
      <c r="C22" s="292">
        <v>16965.700000000008</v>
      </c>
      <c r="D22" s="292">
        <v>27512.350000000039</v>
      </c>
      <c r="E22" s="292">
        <v>10457.850000000035</v>
      </c>
      <c r="F22" s="292">
        <v>26455.440000000031</v>
      </c>
      <c r="G22" s="292"/>
      <c r="H22" s="292"/>
      <c r="I22" s="292"/>
      <c r="J22" s="292"/>
      <c r="K22" s="292"/>
      <c r="L22" s="292"/>
      <c r="M22" s="292"/>
      <c r="N22" s="292">
        <f t="shared" si="0"/>
        <v>102907.30000000013</v>
      </c>
    </row>
    <row r="23" spans="1:14">
      <c r="A23" s="289" t="s">
        <v>15</v>
      </c>
      <c r="B23" s="290">
        <v>-18524.62</v>
      </c>
      <c r="C23" s="290">
        <v>-22249.179999999997</v>
      </c>
      <c r="D23" s="290">
        <v>-15934.049999999997</v>
      </c>
      <c r="E23" s="290">
        <v>-17168.589999999997</v>
      </c>
      <c r="F23" s="290">
        <v>-20912.849999999995</v>
      </c>
      <c r="G23" s="290"/>
      <c r="H23" s="290"/>
      <c r="I23" s="290"/>
      <c r="J23" s="290"/>
      <c r="K23" s="290"/>
      <c r="L23" s="290"/>
      <c r="M23" s="290"/>
      <c r="N23" s="290">
        <f t="shared" si="0"/>
        <v>-94789.289999999979</v>
      </c>
    </row>
    <row r="24" spans="1:14">
      <c r="A24" s="202" t="s">
        <v>516</v>
      </c>
      <c r="B24" s="200">
        <v>-18305.099999999999</v>
      </c>
      <c r="C24" s="200">
        <v>-22249.179999999997</v>
      </c>
      <c r="D24" s="200">
        <v>-15934.049999999997</v>
      </c>
      <c r="E24" s="200">
        <v>-17168.589999999997</v>
      </c>
      <c r="F24" s="200">
        <v>-20912.849999999995</v>
      </c>
      <c r="G24" s="200"/>
      <c r="H24" s="200"/>
      <c r="I24" s="200"/>
      <c r="J24" s="200"/>
      <c r="K24" s="200"/>
      <c r="L24" s="200"/>
      <c r="M24" s="200"/>
      <c r="N24" s="200">
        <f t="shared" si="0"/>
        <v>-94569.769999999975</v>
      </c>
    </row>
    <row r="25" spans="1:14">
      <c r="A25" s="202" t="s">
        <v>515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/>
      <c r="H25" s="200"/>
      <c r="I25" s="200"/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514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/>
      <c r="H26" s="200"/>
      <c r="I26" s="200"/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513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/>
      <c r="H27" s="200"/>
      <c r="I27" s="200"/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512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/>
      <c r="H28" s="285"/>
      <c r="I28" s="285"/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2991.340000000022</v>
      </c>
      <c r="C29" s="292">
        <v>-5283.4799999999886</v>
      </c>
      <c r="D29" s="292">
        <v>11578.300000000041</v>
      </c>
      <c r="E29" s="292">
        <v>-6710.7399999999616</v>
      </c>
      <c r="F29" s="292">
        <v>5542.5900000000365</v>
      </c>
      <c r="G29" s="292"/>
      <c r="H29" s="292"/>
      <c r="I29" s="292"/>
      <c r="J29" s="292"/>
      <c r="K29" s="292"/>
      <c r="L29" s="292"/>
      <c r="M29" s="292"/>
      <c r="N29" s="292">
        <f t="shared" si="0"/>
        <v>8118.0100000001494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/>
      <c r="H30" s="290"/>
      <c r="I30" s="290"/>
      <c r="J30" s="290"/>
      <c r="K30" s="290"/>
      <c r="L30" s="290"/>
      <c r="M30" s="290"/>
      <c r="N30" s="290">
        <f t="shared" si="0"/>
        <v>-5164.2700000000004</v>
      </c>
    </row>
    <row r="31" spans="1:14">
      <c r="A31" s="202" t="s">
        <v>511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/>
      <c r="H31" s="200"/>
      <c r="I31" s="200"/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510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/>
      <c r="H32" s="200"/>
      <c r="I32" s="200"/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509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/>
      <c r="H33" s="200"/>
      <c r="I33" s="200"/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508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/>
      <c r="H34" s="200"/>
      <c r="I34" s="200"/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507</v>
      </c>
      <c r="B35" s="200">
        <v>0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/>
      <c r="H35" s="200"/>
      <c r="I35" s="200"/>
      <c r="J35" s="200"/>
      <c r="K35" s="200"/>
      <c r="L35" s="200"/>
      <c r="M35" s="200"/>
      <c r="N35" s="200">
        <f t="shared" si="0"/>
        <v>0</v>
      </c>
    </row>
    <row r="36" spans="1:14">
      <c r="A36" s="202" t="s">
        <v>506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/>
      <c r="H36" s="200"/>
      <c r="I36" s="200"/>
      <c r="J36" s="200"/>
      <c r="K36" s="200"/>
      <c r="L36" s="200"/>
      <c r="M36" s="200"/>
      <c r="N36" s="200">
        <f t="shared" si="0"/>
        <v>-3880.8200000000006</v>
      </c>
    </row>
    <row r="37" spans="1:14">
      <c r="A37" s="202" t="s">
        <v>505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/>
      <c r="H37" s="200"/>
      <c r="I37" s="200"/>
      <c r="J37" s="200"/>
      <c r="K37" s="200"/>
      <c r="L37" s="200"/>
      <c r="M37" s="200"/>
      <c r="N37" s="200">
        <f t="shared" si="0"/>
        <v>0</v>
      </c>
    </row>
    <row r="38" spans="1:14">
      <c r="A38" s="202" t="s">
        <v>504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/>
      <c r="H38" s="200"/>
      <c r="I38" s="200"/>
      <c r="J38" s="200"/>
      <c r="K38" s="200"/>
      <c r="L38" s="200"/>
      <c r="M38" s="200"/>
      <c r="N38" s="200">
        <f t="shared" si="0"/>
        <v>0</v>
      </c>
    </row>
    <row r="39" spans="1:14">
      <c r="A39" s="202" t="s">
        <v>503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/>
      <c r="H39" s="200"/>
      <c r="I39" s="200"/>
      <c r="J39" s="200"/>
      <c r="K39" s="200"/>
      <c r="L39" s="200"/>
      <c r="M39" s="200"/>
      <c r="N39" s="200">
        <f t="shared" si="0"/>
        <v>0</v>
      </c>
    </row>
    <row r="40" spans="1:14">
      <c r="A40" s="288" t="s">
        <v>502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/>
      <c r="H40" s="285"/>
      <c r="I40" s="285"/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2232.570000000022</v>
      </c>
      <c r="C41" s="292">
        <v>-7242.2499999999891</v>
      </c>
      <c r="D41" s="292">
        <v>10727.140000000041</v>
      </c>
      <c r="E41" s="292">
        <v>-7518.5499999999611</v>
      </c>
      <c r="F41" s="292">
        <v>4754.8300000000363</v>
      </c>
      <c r="G41" s="292"/>
      <c r="H41" s="292"/>
      <c r="I41" s="292"/>
      <c r="J41" s="292"/>
      <c r="K41" s="292"/>
      <c r="L41" s="292"/>
      <c r="M41" s="292"/>
      <c r="N41" s="292">
        <f t="shared" si="0"/>
        <v>2953.7400000001489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/>
      <c r="H42" s="290"/>
      <c r="I42" s="290"/>
      <c r="J42" s="290"/>
      <c r="K42" s="290"/>
      <c r="L42" s="290"/>
      <c r="M42" s="290"/>
      <c r="N42" s="290">
        <f t="shared" si="0"/>
        <v>-6.29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/>
      <c r="H43" s="285"/>
      <c r="I43" s="285"/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2226.280000000022</v>
      </c>
      <c r="C44" s="292">
        <v>-7242.2499999999891</v>
      </c>
      <c r="D44" s="292">
        <v>10727.140000000041</v>
      </c>
      <c r="E44" s="292">
        <v>-7518.5499999999611</v>
      </c>
      <c r="F44" s="292">
        <v>4754.8300000000363</v>
      </c>
      <c r="G44" s="292"/>
      <c r="H44" s="292"/>
      <c r="I44" s="292"/>
      <c r="J44" s="292"/>
      <c r="K44" s="292"/>
      <c r="L44" s="292"/>
      <c r="M44" s="292"/>
      <c r="N44" s="292">
        <f t="shared" si="0"/>
        <v>2947.4500000001499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/>
      <c r="H45" s="290"/>
      <c r="I45" s="290"/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537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/>
      <c r="H46" s="200"/>
      <c r="I46" s="200"/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538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/>
      <c r="H47" s="285"/>
      <c r="I47" s="285"/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2226.280000000022</v>
      </c>
      <c r="C48" s="287">
        <v>-7242.2499999999891</v>
      </c>
      <c r="D48" s="287">
        <v>10727.140000000041</v>
      </c>
      <c r="E48" s="287">
        <v>-7518.5499999999611</v>
      </c>
      <c r="F48" s="287">
        <v>4754.8300000000363</v>
      </c>
      <c r="G48" s="287"/>
      <c r="H48" s="287"/>
      <c r="I48" s="287"/>
      <c r="J48" s="287"/>
      <c r="K48" s="287"/>
      <c r="L48" s="287"/>
      <c r="M48" s="287"/>
      <c r="N48" s="287">
        <f>SUM(B48:M48)</f>
        <v>2947.4500000001499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0</v>
      </c>
      <c r="H53" s="200">
        <f t="shared" si="1"/>
        <v>0</v>
      </c>
      <c r="I53" s="200">
        <f t="shared" si="1"/>
        <v>0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553</v>
      </c>
      <c r="B54" s="248">
        <f>IF(B8&gt;0,B8/B53,"")</f>
        <v>1.4660251685301957E-4</v>
      </c>
      <c r="C54" s="248">
        <f t="shared" ref="C54:M54" si="2">IF(C8&gt;0,C8/C53,"")</f>
        <v>1.1285334072091192E-4</v>
      </c>
      <c r="D54" s="248">
        <f t="shared" si="2"/>
        <v>1.4421016879577882E-4</v>
      </c>
      <c r="E54" s="248">
        <f>IF(E8&gt;0,E8/E53,"")</f>
        <v>1.1749076488989837E-4</v>
      </c>
      <c r="F54" s="248">
        <f t="shared" si="2"/>
        <v>1.4234094343399203E-4</v>
      </c>
      <c r="G54" s="248" t="str">
        <f t="shared" si="2"/>
        <v/>
      </c>
      <c r="H54" s="248" t="str">
        <f t="shared" si="2"/>
        <v/>
      </c>
      <c r="I54" s="248" t="str">
        <f t="shared" si="2"/>
        <v/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551</v>
      </c>
      <c r="B55" s="248">
        <f>IF(B12&gt;0,B12/B53,"")</f>
        <v>7.0103462364182141E-5</v>
      </c>
      <c r="C55" s="248">
        <f t="shared" ref="C55:M55" si="3">IF(C12&gt;0,C12/C53,"")</f>
        <v>3.6441851742405012E-5</v>
      </c>
      <c r="D55" s="248">
        <f t="shared" si="3"/>
        <v>4.4544070682409984E-5</v>
      </c>
      <c r="E55" s="248">
        <f t="shared" si="3"/>
        <v>3.7494990165287372E-5</v>
      </c>
      <c r="F55" s="248">
        <f t="shared" si="3"/>
        <v>6.3635517758601478E-5</v>
      </c>
      <c r="G55" s="248" t="str">
        <f t="shared" si="3"/>
        <v/>
      </c>
      <c r="H55" s="248" t="str">
        <f t="shared" si="3"/>
        <v/>
      </c>
      <c r="I55" s="248" t="str">
        <f t="shared" si="3"/>
        <v/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552</v>
      </c>
      <c r="B56" s="248">
        <f>IF(B11&gt;0,B11/B53,"")</f>
        <v>1.7068084807021428E-5</v>
      </c>
      <c r="C56" s="248">
        <f t="shared" ref="C56:M56" si="4">IF(C11&gt;0,C11/C53,"")</f>
        <v>1.5960926487600319E-5</v>
      </c>
      <c r="D56" s="248">
        <f t="shared" si="4"/>
        <v>2.0442696949709413E-5</v>
      </c>
      <c r="E56" s="248">
        <f>IF(E11&gt;0,E11/E53,"")</f>
        <v>1.8963555928764132E-5</v>
      </c>
      <c r="F56" s="248">
        <f t="shared" si="4"/>
        <v>7.0084367816536121E-6</v>
      </c>
      <c r="G56" s="248" t="str">
        <f t="shared" si="4"/>
        <v/>
      </c>
      <c r="H56" s="248" t="str">
        <f t="shared" si="4"/>
        <v/>
      </c>
      <c r="I56" s="248" t="str">
        <f t="shared" si="4"/>
        <v/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topLeftCell="A15" zoomScale="93" zoomScaleNormal="93" workbookViewId="0">
      <selection activeCell="X10" sqref="X10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0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/>
      <c r="K4" s="237"/>
      <c r="L4" s="238"/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539</v>
      </c>
      <c r="E5" s="232">
        <f>IF(E4&gt;0,(E7/E4)*12,"")</f>
        <v>1.2187593603240256E-2</v>
      </c>
      <c r="F5" s="233">
        <f t="shared" ref="F5:P5" si="1">IF(F4&gt;0,(F7/F4)*12,"")</f>
        <v>9.3550861660580617E-3</v>
      </c>
      <c r="G5" s="234">
        <f t="shared" si="1"/>
        <v>1.0633145385518513E-2</v>
      </c>
      <c r="H5" s="232">
        <f t="shared" si="1"/>
        <v>1.1552257050865782E-2</v>
      </c>
      <c r="I5" s="233">
        <f t="shared" si="1"/>
        <v>1.0792187823260233E-2</v>
      </c>
      <c r="J5" s="234" t="str">
        <f t="shared" si="1"/>
        <v/>
      </c>
      <c r="K5" s="232" t="str">
        <f t="shared" si="1"/>
        <v/>
      </c>
      <c r="L5" s="233" t="str">
        <f t="shared" si="1"/>
        <v/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1.0904054005788569E-2</v>
      </c>
      <c r="U5" s="261">
        <v>4</v>
      </c>
    </row>
    <row r="6" spans="4:28">
      <c r="D6" s="217" t="s">
        <v>6</v>
      </c>
      <c r="E6" s="224" t="s">
        <v>531</v>
      </c>
      <c r="F6" s="225" t="s">
        <v>530</v>
      </c>
      <c r="G6" s="226" t="s">
        <v>529</v>
      </c>
      <c r="H6" s="224" t="s">
        <v>528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295046.17000000004</v>
      </c>
      <c r="F7" s="208">
        <f>CNS!C8+CRR!C8</f>
        <v>237394.00000000003</v>
      </c>
      <c r="G7" s="208">
        <f>CNS!D8+CRR!D8</f>
        <v>274171.35000000009</v>
      </c>
      <c r="H7" s="212">
        <f>CNS!E8+CRR!E8</f>
        <v>300220.63000000012</v>
      </c>
      <c r="I7" s="208">
        <f>CNS!F8+CRR!F8</f>
        <v>280659.47000000009</v>
      </c>
      <c r="J7" s="208">
        <f>CNS!G8+CRR!G8</f>
        <v>0</v>
      </c>
      <c r="K7" s="212">
        <f>CNS!H8+CRR!H8</f>
        <v>0</v>
      </c>
      <c r="L7" s="208">
        <f>CNS!I8+CRR!I8</f>
        <v>0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1387491.6200000006</v>
      </c>
      <c r="T7" s="330" t="s">
        <v>9</v>
      </c>
      <c r="U7" s="215">
        <f>Q7/$U$5</f>
        <v>346872.90500000014</v>
      </c>
    </row>
    <row r="8" spans="4:28">
      <c r="D8" s="219" t="s">
        <v>225</v>
      </c>
      <c r="E8" s="123">
        <f>CNS!B9</f>
        <v>175559.2</v>
      </c>
      <c r="F8" s="6">
        <f>CNS!C9</f>
        <v>177140.28000000006</v>
      </c>
      <c r="G8" s="6">
        <f>CNS!D9</f>
        <v>184550.54000000004</v>
      </c>
      <c r="H8" s="123">
        <f>CNS!E9</f>
        <v>191454.82000000007</v>
      </c>
      <c r="I8" s="6">
        <f>CNS!F9</f>
        <v>195739.19000000006</v>
      </c>
      <c r="J8" s="6">
        <f>CNS!G9</f>
        <v>0</v>
      </c>
      <c r="K8" s="123">
        <f>CNS!H9</f>
        <v>0</v>
      </c>
      <c r="L8" s="6">
        <f>CNS!I9</f>
        <v>0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924444.03000000026</v>
      </c>
      <c r="R8" s="229">
        <f>Q8/$Q$7</f>
        <v>0.66626999159821942</v>
      </c>
      <c r="T8" s="219" t="s">
        <v>225</v>
      </c>
      <c r="U8" s="9">
        <f t="shared" ref="U8:U53" si="3">Q8/$U$5</f>
        <v>231111.00750000007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>
        <f>CNS!G10</f>
        <v>0</v>
      </c>
      <c r="K9" s="123">
        <f>CNS!H10</f>
        <v>0</v>
      </c>
      <c r="L9" s="6">
        <f>CNS!I10</f>
        <v>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57000</v>
      </c>
      <c r="R9" s="229">
        <f t="shared" ref="R9:R19" si="4">Q9/$Q$7</f>
        <v>4.1081329197505331E-2</v>
      </c>
      <c r="T9" s="219" t="s">
        <v>236</v>
      </c>
      <c r="U9" s="9">
        <f t="shared" si="3"/>
        <v>14250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 t="str">
        <f>CNS!C11</f>
        <v>0,00</v>
      </c>
      <c r="G10" s="6">
        <f>CNS!D11</f>
        <v>34000</v>
      </c>
      <c r="H10" s="123">
        <f>CNS!E11</f>
        <v>34000</v>
      </c>
      <c r="I10" s="6">
        <f>CNS!F11</f>
        <v>34000</v>
      </c>
      <c r="J10" s="6">
        <f>CNS!G11</f>
        <v>0</v>
      </c>
      <c r="K10" s="123">
        <f>CNS!H11</f>
        <v>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136000</v>
      </c>
      <c r="R10" s="229">
        <f t="shared" si="4"/>
        <v>9.8018610015100441E-2</v>
      </c>
      <c r="T10" s="219" t="s">
        <v>394</v>
      </c>
      <c r="U10" s="9">
        <f t="shared" si="3"/>
        <v>34000</v>
      </c>
    </row>
    <row r="11" spans="4:28">
      <c r="D11" s="219" t="s">
        <v>562</v>
      </c>
      <c r="E11" s="123">
        <f>CNS!B12</f>
        <v>27823.239999999998</v>
      </c>
      <c r="F11" s="6">
        <f>CNS!C12</f>
        <v>6238.62</v>
      </c>
      <c r="G11" s="6" t="str">
        <f>CNS!D12</f>
        <v>0,00</v>
      </c>
      <c r="H11" s="123">
        <f>CNS!E12</f>
        <v>30425.54</v>
      </c>
      <c r="I11" s="6" t="str">
        <f>CNS!F12</f>
        <v>0,00</v>
      </c>
      <c r="J11" s="6">
        <f>CNS!G12</f>
        <v>0</v>
      </c>
      <c r="K11" s="123">
        <f>CNS!H12</f>
        <v>0</v>
      </c>
      <c r="L11" s="6">
        <f>CNS!I12</f>
        <v>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64487.4</v>
      </c>
      <c r="R11" s="229">
        <f t="shared" si="4"/>
        <v>4.6477686113880798E-2</v>
      </c>
      <c r="T11" s="219" t="s">
        <v>562</v>
      </c>
      <c r="U11" s="9">
        <f t="shared" si="3"/>
        <v>16121.85</v>
      </c>
    </row>
    <row r="12" spans="4:28">
      <c r="D12" s="219" t="s">
        <v>563</v>
      </c>
      <c r="E12" s="123">
        <f>CNS!B13</f>
        <v>375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>
        <f>CNS!G13</f>
        <v>0</v>
      </c>
      <c r="K12" s="123">
        <f>CNS!H13</f>
        <v>0</v>
      </c>
      <c r="L12" s="6">
        <f>CNS!I13</f>
        <v>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2925</v>
      </c>
      <c r="R12" s="229">
        <f t="shared" si="4"/>
        <v>2.1081208403983002E-3</v>
      </c>
      <c r="T12" s="219" t="s">
        <v>563</v>
      </c>
      <c r="U12" s="9">
        <f t="shared" si="3"/>
        <v>731.25</v>
      </c>
    </row>
    <row r="13" spans="4:28">
      <c r="D13" s="219" t="s">
        <v>564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>
        <f>CNS!G14</f>
        <v>0</v>
      </c>
      <c r="K13" s="123">
        <f>CNS!H14</f>
        <v>0</v>
      </c>
      <c r="L13" s="6">
        <f>CNS!I14</f>
        <v>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564</v>
      </c>
      <c r="U13" s="9">
        <f t="shared" si="3"/>
        <v>0</v>
      </c>
    </row>
    <row r="14" spans="4:28">
      <c r="D14" s="219" t="s">
        <v>565</v>
      </c>
      <c r="E14" s="123">
        <f>CRR!B9</f>
        <v>2129.2400000000002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4335.0199999999995</v>
      </c>
      <c r="J14" s="6">
        <f>CRR!G9</f>
        <v>0</v>
      </c>
      <c r="K14" s="123">
        <f>CRR!H9</f>
        <v>0</v>
      </c>
      <c r="L14" s="6">
        <f>CRR!I9</f>
        <v>0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21785.37</v>
      </c>
      <c r="R14" s="229">
        <f t="shared" si="4"/>
        <v>1.5701262397534329E-2</v>
      </c>
      <c r="T14" s="219" t="s">
        <v>565</v>
      </c>
      <c r="U14" s="9">
        <f t="shared" si="3"/>
        <v>5446.3424999999997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>
        <f>CRR!G10</f>
        <v>0</v>
      </c>
      <c r="K15" s="123">
        <f>CRR!H10</f>
        <v>0</v>
      </c>
      <c r="L15" s="6">
        <f>CRR!I10</f>
        <v>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56387.999999999993</v>
      </c>
      <c r="R15" s="229">
        <f t="shared" si="4"/>
        <v>4.0640245452437378E-2</v>
      </c>
      <c r="T15" s="219" t="s">
        <v>24</v>
      </c>
      <c r="U15" s="9">
        <f t="shared" si="3"/>
        <v>14096.999999999998</v>
      </c>
    </row>
    <row r="16" spans="4:28">
      <c r="D16" s="219" t="s">
        <v>566</v>
      </c>
      <c r="E16" s="123">
        <f>CRR!B11</f>
        <v>4958.3599999999997</v>
      </c>
      <c r="F16" s="6">
        <f>CRR!C11</f>
        <v>4860.2800000000016</v>
      </c>
      <c r="G16" s="6">
        <f>CRR!D11</f>
        <v>6325.2800000000016</v>
      </c>
      <c r="H16" s="123">
        <f>CRR!E11</f>
        <v>5913.9100000000008</v>
      </c>
      <c r="I16" s="6">
        <f>CRR!F11</f>
        <v>2187.119999999999</v>
      </c>
      <c r="J16" s="6">
        <f>CRR!G11</f>
        <v>0</v>
      </c>
      <c r="K16" s="123">
        <f>CRR!H11</f>
        <v>0</v>
      </c>
      <c r="L16" s="6">
        <f>CRR!I11</f>
        <v>0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24244.95</v>
      </c>
      <c r="R16" s="229">
        <f t="shared" si="4"/>
        <v>1.7473943374158894E-2</v>
      </c>
      <c r="T16" s="219" t="s">
        <v>566</v>
      </c>
      <c r="U16" s="9">
        <f t="shared" si="3"/>
        <v>6061.2375000000002</v>
      </c>
    </row>
    <row r="17" spans="4:27">
      <c r="D17" s="219" t="s">
        <v>245</v>
      </c>
      <c r="E17" s="123">
        <f>CRR!B12</f>
        <v>20365.390000000003</v>
      </c>
      <c r="F17" s="6">
        <f>CRR!C12</f>
        <v>11096.949999999995</v>
      </c>
      <c r="G17" s="6">
        <f>CRR!D12</f>
        <v>13782.609999999993</v>
      </c>
      <c r="H17" s="123">
        <f>CRR!E12</f>
        <v>11693.059999999998</v>
      </c>
      <c r="I17" s="6">
        <f>CRR!F12</f>
        <v>19858.71</v>
      </c>
      <c r="J17" s="6">
        <f>CRR!G12</f>
        <v>0</v>
      </c>
      <c r="K17" s="123">
        <f>CRR!H12</f>
        <v>0</v>
      </c>
      <c r="L17" s="6">
        <f>CRR!I12</f>
        <v>0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76796.719999999987</v>
      </c>
      <c r="R17" s="229">
        <f t="shared" si="4"/>
        <v>5.5349321677344583E-2</v>
      </c>
      <c r="T17" s="219" t="s">
        <v>245</v>
      </c>
      <c r="U17" s="9">
        <f t="shared" si="3"/>
        <v>19199.179999999997</v>
      </c>
    </row>
    <row r="18" spans="4:27">
      <c r="D18" s="219" t="s">
        <v>567</v>
      </c>
      <c r="E18" s="123">
        <f>CRR!B13</f>
        <v>3858.1399999999994</v>
      </c>
      <c r="F18" s="6">
        <f>CRR!C13</f>
        <v>3050.26</v>
      </c>
      <c r="G18" s="6">
        <f>CRR!D13</f>
        <v>5352.7299999999987</v>
      </c>
      <c r="H18" s="123">
        <f>CRR!E13</f>
        <v>4397.1899999999996</v>
      </c>
      <c r="I18" s="6">
        <f>CRR!F13</f>
        <v>6761.83</v>
      </c>
      <c r="J18" s="6">
        <f>CRR!G13</f>
        <v>0</v>
      </c>
      <c r="K18" s="123">
        <f>CRR!H13</f>
        <v>0</v>
      </c>
      <c r="L18" s="6">
        <f>CRR!I13</f>
        <v>0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23420.149999999994</v>
      </c>
      <c r="R18" s="229">
        <f t="shared" si="4"/>
        <v>1.6879489333420251E-2</v>
      </c>
      <c r="T18" s="219" t="s">
        <v>567</v>
      </c>
      <c r="U18" s="9">
        <f t="shared" si="3"/>
        <v>5855.0374999999985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-199415.55</v>
      </c>
      <c r="F20" s="10">
        <f>CNS!C16+CRR!C15</f>
        <v>-124090.19</v>
      </c>
      <c r="G20" s="10">
        <f>CNS!D16+CRR!D15</f>
        <v>-138181.44</v>
      </c>
      <c r="H20" s="122">
        <f>CNS!E16+CRR!E15</f>
        <v>-198046.43999999997</v>
      </c>
      <c r="I20" s="10">
        <f>CNS!F16+CRR!F15</f>
        <v>-128726.11000000002</v>
      </c>
      <c r="J20" s="10">
        <f>CNS!G16+CRR!G15</f>
        <v>0</v>
      </c>
      <c r="K20" s="122">
        <f>CNS!H16+CRR!H15</f>
        <v>0</v>
      </c>
      <c r="L20" s="10">
        <f>CNS!I16+CRR!I15</f>
        <v>0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-788459.73</v>
      </c>
      <c r="R20" s="230">
        <f>Q20/$Q$7</f>
        <v>-0.56826269696677489</v>
      </c>
      <c r="T20" s="221" t="s">
        <v>11</v>
      </c>
      <c r="U20" s="11">
        <f t="shared" si="3"/>
        <v>-197114.9325</v>
      </c>
    </row>
    <row r="21" spans="4:27">
      <c r="D21" s="219" t="s">
        <v>12</v>
      </c>
      <c r="E21" s="123">
        <f>CNS!B17+CRR!B16</f>
        <v>-102113.5</v>
      </c>
      <c r="F21" s="6">
        <f>CNS!C17+CRR!C16</f>
        <v>-21801.440000000002</v>
      </c>
      <c r="G21" s="6">
        <f>CNS!D17+CRR!D16</f>
        <v>-27344.44</v>
      </c>
      <c r="H21" s="123">
        <f>CNS!E17+CRR!E16</f>
        <v>-91514.16</v>
      </c>
      <c r="I21" s="6">
        <f>CNS!F17+CRR!F16</f>
        <v>-23264.240000000002</v>
      </c>
      <c r="J21" s="6">
        <f>CNS!G17+CRR!G16</f>
        <v>0</v>
      </c>
      <c r="K21" s="123">
        <f>CNS!H17+CRR!H16</f>
        <v>0</v>
      </c>
      <c r="L21" s="6">
        <f>CNS!I17+CRR!I16</f>
        <v>0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-266037.78000000003</v>
      </c>
      <c r="R21" s="230">
        <f>Q21/$Q$7</f>
        <v>-0.19174009858164037</v>
      </c>
      <c r="T21" s="219" t="s">
        <v>12</v>
      </c>
      <c r="U21" s="9">
        <f t="shared" si="3"/>
        <v>-66509.445000000007</v>
      </c>
      <c r="X21" s="273"/>
      <c r="Y21" s="273"/>
      <c r="Z21" s="273"/>
      <c r="AA21" s="273"/>
    </row>
    <row r="22" spans="4:27">
      <c r="D22" s="219" t="s">
        <v>521</v>
      </c>
      <c r="E22" s="123">
        <f>CNS!B18+CRR!B17</f>
        <v>-89450.62999999999</v>
      </c>
      <c r="F22" s="6">
        <f>CNS!C18+CRR!C17</f>
        <v>-91876.310000000012</v>
      </c>
      <c r="G22" s="6">
        <f>CNS!D18+CRR!D17</f>
        <v>-98268.03</v>
      </c>
      <c r="H22" s="123">
        <f>CNS!E18+CRR!E17</f>
        <v>-95663.76</v>
      </c>
      <c r="I22" s="6">
        <f>CNS!F18+CRR!F17</f>
        <v>-91912.33</v>
      </c>
      <c r="J22" s="6">
        <f>CNS!G18+CRR!G17</f>
        <v>0</v>
      </c>
      <c r="K22" s="123">
        <f>CNS!H18+CRR!H17</f>
        <v>0</v>
      </c>
      <c r="L22" s="6">
        <f>CNS!I18+CRR!I17</f>
        <v>0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-467171.06</v>
      </c>
      <c r="R22" s="230">
        <f t="shared" ref="R22:R26" si="5">Q22/$Q$7</f>
        <v>-0.33670189662118449</v>
      </c>
      <c r="T22" s="219" t="s">
        <v>521</v>
      </c>
      <c r="U22" s="9">
        <f t="shared" si="3"/>
        <v>-116792.765</v>
      </c>
    </row>
    <row r="23" spans="4:27">
      <c r="D23" s="219" t="s">
        <v>520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0</v>
      </c>
      <c r="K23" s="123">
        <f>CNS!H19+CRR!H18</f>
        <v>0</v>
      </c>
      <c r="L23" s="6">
        <f>CNS!I19+CRR!I18</f>
        <v>0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-33351.040000000001</v>
      </c>
      <c r="R23" s="230">
        <f t="shared" si="5"/>
        <v>-2.4036930759985409E-2</v>
      </c>
      <c r="T23" s="219" t="s">
        <v>520</v>
      </c>
      <c r="U23" s="9">
        <f t="shared" si="3"/>
        <v>-8337.76</v>
      </c>
    </row>
    <row r="24" spans="4:27">
      <c r="D24" s="219" t="s">
        <v>519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-4.2309660940510743E-3</v>
      </c>
      <c r="T24" s="219" t="s">
        <v>519</v>
      </c>
      <c r="U24" s="9">
        <f t="shared" si="3"/>
        <v>-1467.6075000000001</v>
      </c>
    </row>
    <row r="25" spans="4:27">
      <c r="D25" s="219" t="s">
        <v>518</v>
      </c>
      <c r="E25" s="123">
        <f>CNS!B21+CRR!B20</f>
        <v>-1163.7199999999998</v>
      </c>
      <c r="F25" s="6">
        <f>CNS!C21+CRR!C20</f>
        <v>-1319.6100000000001</v>
      </c>
      <c r="G25" s="6">
        <f>CNS!D21+CRR!D20</f>
        <v>-3923.62</v>
      </c>
      <c r="H25" s="123">
        <f>CNS!E21+CRR!E20</f>
        <v>-1950.6299999999999</v>
      </c>
      <c r="I25" s="6">
        <f>CNS!F21+CRR!F20</f>
        <v>-3298.79</v>
      </c>
      <c r="J25" s="6">
        <f>CNS!G21+CRR!G20</f>
        <v>0</v>
      </c>
      <c r="K25" s="123">
        <f>CNS!H21+CRR!H20</f>
        <v>0</v>
      </c>
      <c r="L25" s="6">
        <f>CNS!I21+CRR!I20</f>
        <v>0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-11656.369999999999</v>
      </c>
      <c r="R25" s="230">
        <f t="shared" si="5"/>
        <v>-8.4010381266302666E-3</v>
      </c>
      <c r="T25" s="219" t="s">
        <v>518</v>
      </c>
      <c r="U25" s="9">
        <f t="shared" si="3"/>
        <v>-2914.0924999999997</v>
      </c>
    </row>
    <row r="26" spans="4:27">
      <c r="D26" s="219" t="s">
        <v>517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0</v>
      </c>
      <c r="K26" s="123">
        <f>CNS!H22+CRR!H21</f>
        <v>0</v>
      </c>
      <c r="L26" s="6">
        <f>CNS!I22+CRR!I21</f>
        <v>0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-4373.05</v>
      </c>
      <c r="R26" s="230">
        <f t="shared" si="5"/>
        <v>-3.1517667832833456E-3</v>
      </c>
      <c r="T26" s="219" t="s">
        <v>517</v>
      </c>
      <c r="U26" s="9">
        <f t="shared" si="3"/>
        <v>-1093.2625</v>
      </c>
    </row>
    <row r="27" spans="4:27">
      <c r="D27" s="218" t="s">
        <v>14</v>
      </c>
      <c r="E27" s="212">
        <f>CNS!B23+CRR!B22</f>
        <v>95630.620000000054</v>
      </c>
      <c r="F27" s="208">
        <f>CNS!C23+CRR!C22</f>
        <v>113303.81000000004</v>
      </c>
      <c r="G27" s="208">
        <f>CNS!D23+CRR!D22</f>
        <v>135989.91000000012</v>
      </c>
      <c r="H27" s="212">
        <f>CNS!E23+CRR!E22</f>
        <v>102174.19000000015</v>
      </c>
      <c r="I27" s="208">
        <f>CNS!F23+CRR!F22</f>
        <v>151933.36000000004</v>
      </c>
      <c r="J27" s="208">
        <f>CNS!G23+CRR!G22</f>
        <v>0</v>
      </c>
      <c r="K27" s="212">
        <f>CNS!H23+CRR!H22</f>
        <v>0</v>
      </c>
      <c r="L27" s="208">
        <f>CNS!I23+CRR!I22</f>
        <v>0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599031.89000000036</v>
      </c>
      <c r="R27" s="12">
        <f>Q27/$Q$7</f>
        <v>0.43173730303322488</v>
      </c>
      <c r="T27" s="330" t="s">
        <v>14</v>
      </c>
      <c r="U27" s="215">
        <f t="shared" si="3"/>
        <v>149757.97250000009</v>
      </c>
    </row>
    <row r="28" spans="4:27">
      <c r="D28" s="220" t="s">
        <v>15</v>
      </c>
      <c r="E28" s="122">
        <f>CNS!B24+CRR!B23</f>
        <v>-64872.260000000009</v>
      </c>
      <c r="F28" s="10">
        <f>CNS!C24+CRR!C23</f>
        <v>-63769.759999999995</v>
      </c>
      <c r="G28" s="10">
        <f>CNS!D24+CRR!D23</f>
        <v>-66416.09</v>
      </c>
      <c r="H28" s="122">
        <f>CNS!E24+CRR!E23</f>
        <v>-64575.130000000019</v>
      </c>
      <c r="I28" s="10">
        <f>CNS!F24+CRR!F23</f>
        <v>-85976.890000000014</v>
      </c>
      <c r="J28" s="10">
        <f>CNS!G24+CRR!G23</f>
        <v>0</v>
      </c>
      <c r="K28" s="122">
        <f>CNS!H24+CRR!H23</f>
        <v>0</v>
      </c>
      <c r="L28" s="10">
        <f>CNS!I24+CRR!I23</f>
        <v>0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-345610.13</v>
      </c>
      <c r="R28" s="230">
        <f>Q28/$Q$7</f>
        <v>-0.24908988639513358</v>
      </c>
      <c r="T28" s="221" t="s">
        <v>15</v>
      </c>
      <c r="U28" s="11">
        <f t="shared" si="3"/>
        <v>-86402.532500000001</v>
      </c>
    </row>
    <row r="29" spans="4:27">
      <c r="D29" s="219" t="s">
        <v>516</v>
      </c>
      <c r="E29" s="123">
        <f>CNS!B25+CRR!B24</f>
        <v>-25338.149999999998</v>
      </c>
      <c r="F29" s="6">
        <f>CNS!C25+CRR!C24</f>
        <v>-35150.709999999992</v>
      </c>
      <c r="G29" s="6">
        <f>CNS!D25+CRR!D24</f>
        <v>-27030.509999999995</v>
      </c>
      <c r="H29" s="123">
        <f>CNS!E25+CRR!E24</f>
        <v>-28209.129999999997</v>
      </c>
      <c r="I29" s="6">
        <f>CNS!F25+CRR!F24</f>
        <v>-32604.229999999996</v>
      </c>
      <c r="J29" s="6">
        <f>CNS!G25+CRR!G24</f>
        <v>0</v>
      </c>
      <c r="K29" s="123">
        <f>CNS!H25+CRR!H24</f>
        <v>0</v>
      </c>
      <c r="L29" s="6">
        <f>CNS!I25+CRR!I24</f>
        <v>0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-148332.72999999998</v>
      </c>
      <c r="R29" s="230">
        <f>Q29/$Q$7</f>
        <v>-0.10690711775253815</v>
      </c>
      <c r="T29" s="219" t="s">
        <v>516</v>
      </c>
      <c r="U29" s="9">
        <f t="shared" si="3"/>
        <v>-37083.182499999995</v>
      </c>
    </row>
    <row r="30" spans="4:27">
      <c r="D30" s="219" t="s">
        <v>515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-13097.35</v>
      </c>
      <c r="H30" s="123">
        <f>CNS!E26+CRR!E25</f>
        <v>-10678.38</v>
      </c>
      <c r="I30" s="6">
        <f>CNS!F26+CRR!F25</f>
        <v>-9918.6999999999989</v>
      </c>
      <c r="J30" s="6">
        <f>CNS!G26+CRR!G25</f>
        <v>0</v>
      </c>
      <c r="K30" s="123">
        <f>CNS!H26+CRR!H25</f>
        <v>0</v>
      </c>
      <c r="L30" s="6">
        <f>CNS!I26+CRR!I25</f>
        <v>0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-58736.939999999995</v>
      </c>
      <c r="R30" s="230">
        <f t="shared" ref="R30:R33" si="6">Q30/$Q$7</f>
        <v>-4.2333185406914366E-2</v>
      </c>
      <c r="T30" s="219" t="s">
        <v>515</v>
      </c>
      <c r="U30" s="9">
        <f t="shared" si="3"/>
        <v>-14684.234999999999</v>
      </c>
    </row>
    <row r="31" spans="4:27">
      <c r="D31" s="219" t="s">
        <v>514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-37735.460000000006</v>
      </c>
      <c r="J31" s="6">
        <f>CNS!G27+CRR!G26</f>
        <v>0</v>
      </c>
      <c r="K31" s="123">
        <f>CNS!H27+CRR!H26</f>
        <v>0</v>
      </c>
      <c r="L31" s="6">
        <f>CNS!I27+CRR!I26</f>
        <v>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-130020.19000000002</v>
      </c>
      <c r="R31" s="230">
        <f t="shared" si="6"/>
        <v>-9.3708811012494592E-2</v>
      </c>
      <c r="T31" s="219" t="s">
        <v>514</v>
      </c>
      <c r="U31" s="9">
        <f t="shared" si="3"/>
        <v>-32505.047500000004</v>
      </c>
    </row>
    <row r="32" spans="4:27">
      <c r="D32" s="219" t="s">
        <v>513</v>
      </c>
      <c r="E32" s="123">
        <f>CNS!B28+CRR!B27</f>
        <v>-1119.18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-1119.18</v>
      </c>
      <c r="R32" s="230">
        <f t="shared" si="6"/>
        <v>-8.0662108791691267E-4</v>
      </c>
      <c r="T32" s="219" t="s">
        <v>513</v>
      </c>
      <c r="U32" s="9">
        <f t="shared" si="3"/>
        <v>-279.79500000000002</v>
      </c>
    </row>
    <row r="33" spans="4:21">
      <c r="D33" s="219" t="s">
        <v>512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0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-7401.09</v>
      </c>
      <c r="R33" s="230">
        <f t="shared" si="6"/>
        <v>-5.3341511352695574E-3</v>
      </c>
      <c r="T33" s="219" t="s">
        <v>512</v>
      </c>
      <c r="U33" s="9">
        <f t="shared" si="3"/>
        <v>-1850.2725</v>
      </c>
    </row>
    <row r="34" spans="4:21">
      <c r="D34" s="218" t="s">
        <v>16</v>
      </c>
      <c r="E34" s="212">
        <f>CNS!B30+CRR!B29</f>
        <v>30758.360000000048</v>
      </c>
      <c r="F34" s="208">
        <f>CNS!C30+CRR!C29</f>
        <v>49534.050000000047</v>
      </c>
      <c r="G34" s="208">
        <f>CNS!D30+CRR!D29</f>
        <v>69573.820000000109</v>
      </c>
      <c r="H34" s="212">
        <f>CNS!E30+CRR!E29</f>
        <v>37599.060000000129</v>
      </c>
      <c r="I34" s="208">
        <f>CNS!F30+CRR!F29</f>
        <v>65956.47000000003</v>
      </c>
      <c r="J34" s="208">
        <f>CNS!G30+CRR!G29</f>
        <v>0</v>
      </c>
      <c r="K34" s="212">
        <f>CNS!H30+CRR!H29</f>
        <v>0</v>
      </c>
      <c r="L34" s="208">
        <f>CNS!I30+CRR!I29</f>
        <v>0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253421.76000000036</v>
      </c>
      <c r="R34" s="12">
        <f>Q34/$Q$7</f>
        <v>0.18264741663809131</v>
      </c>
      <c r="T34" s="330" t="s">
        <v>16</v>
      </c>
      <c r="U34" s="215">
        <f t="shared" si="3"/>
        <v>63355.44000000009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-23332.250000000004</v>
      </c>
      <c r="G35" s="10">
        <f>CNS!D31+CRR!D30</f>
        <v>-25476.399999999987</v>
      </c>
      <c r="H35" s="122">
        <f>CNS!E31+CRR!E30</f>
        <v>-21131.769999999997</v>
      </c>
      <c r="I35" s="10">
        <f>CNS!F31+CRR!F30</f>
        <v>-19711.419999999998</v>
      </c>
      <c r="J35" s="10">
        <f>CNS!G31+CRR!G30</f>
        <v>0</v>
      </c>
      <c r="K35" s="122">
        <f>CNS!H31+CRR!H30</f>
        <v>0</v>
      </c>
      <c r="L35" s="10">
        <f>CNS!I31+CRR!I30</f>
        <v>0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-113133.33999999998</v>
      </c>
      <c r="R35" s="230">
        <f t="shared" ref="R35:R52" si="7">Q35/$Q$7</f>
        <v>-8.1538034802689424E-2</v>
      </c>
      <c r="T35" s="221" t="s">
        <v>17</v>
      </c>
      <c r="U35" s="11">
        <f t="shared" si="3"/>
        <v>-28283.334999999995</v>
      </c>
    </row>
    <row r="36" spans="4:21">
      <c r="D36" s="219" t="s">
        <v>511</v>
      </c>
      <c r="E36" s="123">
        <f>CNS!B32+CRR!B31</f>
        <v>-10767.65</v>
      </c>
      <c r="F36" s="6">
        <f>CNS!C32+CRR!C31</f>
        <v>-7850.2999999999993</v>
      </c>
      <c r="G36" s="6">
        <f>CNS!D32+CRR!D31</f>
        <v>-8253.59</v>
      </c>
      <c r="H36" s="123">
        <f>CNS!E32+CRR!E31</f>
        <v>-8252.4599999999991</v>
      </c>
      <c r="I36" s="6">
        <f>CNS!F32+CRR!F31</f>
        <v>-8184.48</v>
      </c>
      <c r="J36" s="6">
        <f>CNS!G32+CRR!G31</f>
        <v>0</v>
      </c>
      <c r="K36" s="123">
        <f>CNS!H32+CRR!H31</f>
        <v>0</v>
      </c>
      <c r="L36" s="6">
        <f>CNS!I32+CRR!I31</f>
        <v>0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-43308.479999999996</v>
      </c>
      <c r="R36" s="230">
        <f t="shared" si="7"/>
        <v>-3.1213507437255712E-2</v>
      </c>
      <c r="T36" s="219" t="s">
        <v>511</v>
      </c>
      <c r="U36" s="9">
        <f t="shared" si="3"/>
        <v>-10827.119999999999</v>
      </c>
    </row>
    <row r="37" spans="4:21">
      <c r="D37" s="219" t="s">
        <v>510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510</v>
      </c>
      <c r="U37" s="9">
        <f t="shared" si="3"/>
        <v>0</v>
      </c>
    </row>
    <row r="38" spans="4:21">
      <c r="D38" s="219" t="s">
        <v>509</v>
      </c>
      <c r="E38" s="123">
        <f>CNS!B34+CRR!B33</f>
        <v>-4432.6099999999997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0</v>
      </c>
      <c r="K38" s="123">
        <f>CNS!H34+CRR!H33</f>
        <v>0</v>
      </c>
      <c r="L38" s="6">
        <f>CNS!I34+CRR!I33</f>
        <v>0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-22904.369999999995</v>
      </c>
      <c r="R38" s="230">
        <f t="shared" si="7"/>
        <v>-1.6507753754937984E-2</v>
      </c>
      <c r="T38" s="219" t="s">
        <v>509</v>
      </c>
      <c r="U38" s="9">
        <f t="shared" si="3"/>
        <v>-5726.0924999999988</v>
      </c>
    </row>
    <row r="39" spans="4:21">
      <c r="D39" s="219" t="s">
        <v>508</v>
      </c>
      <c r="E39" s="123">
        <f>CNS!B35+CRR!B34</f>
        <v>-2598.88</v>
      </c>
      <c r="F39" s="6">
        <f>CNS!C35+CRR!C34</f>
        <v>-3404.37</v>
      </c>
      <c r="G39" s="6">
        <f>CNS!D35+CRR!D34</f>
        <v>-5667.7599999999975</v>
      </c>
      <c r="H39" s="123">
        <f>CNS!E35+CRR!E34</f>
        <v>-3002.4900000000002</v>
      </c>
      <c r="I39" s="6">
        <f>CNS!F35+CRR!F34</f>
        <v>-1595.19</v>
      </c>
      <c r="J39" s="6">
        <f>CNS!G35+CRR!G34</f>
        <v>0</v>
      </c>
      <c r="K39" s="123">
        <f>CNS!H35+CRR!H34</f>
        <v>0</v>
      </c>
      <c r="L39" s="6">
        <f>CNS!I35+CRR!I34</f>
        <v>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-16268.689999999999</v>
      </c>
      <c r="R39" s="230">
        <f t="shared" si="7"/>
        <v>-1.1725252798283561E-2</v>
      </c>
      <c r="T39" s="219" t="s">
        <v>508</v>
      </c>
      <c r="U39" s="9">
        <f t="shared" si="3"/>
        <v>-4067.1724999999997</v>
      </c>
    </row>
    <row r="40" spans="4:21">
      <c r="D40" s="219" t="s">
        <v>507</v>
      </c>
      <c r="E40" s="123">
        <f>CNS!B36+CRR!B35</f>
        <v>-2058.7799999999997</v>
      </c>
      <c r="F40" s="6">
        <f>CNS!C36+CRR!C35</f>
        <v>-3995.8399999999992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</v>
      </c>
      <c r="J40" s="6">
        <f>CNS!G36+CRR!G35</f>
        <v>0</v>
      </c>
      <c r="K40" s="123">
        <f>CNS!H36+CRR!H35</f>
        <v>0</v>
      </c>
      <c r="L40" s="6">
        <f>CNS!I36+CRR!I35</f>
        <v>0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-13794.31</v>
      </c>
      <c r="R40" s="230">
        <f t="shared" si="7"/>
        <v>-9.9419050905691191E-3</v>
      </c>
      <c r="T40" s="219" t="s">
        <v>507</v>
      </c>
      <c r="U40" s="9">
        <f t="shared" si="3"/>
        <v>-3448.5774999999999</v>
      </c>
    </row>
    <row r="41" spans="4:21">
      <c r="D41" s="219" t="s">
        <v>506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0</v>
      </c>
      <c r="K41" s="123">
        <f>CNS!H37+CRR!H36</f>
        <v>0</v>
      </c>
      <c r="L41" s="6">
        <f>CNS!I37+CRR!I36</f>
        <v>0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-12323.19</v>
      </c>
      <c r="R41" s="230">
        <f t="shared" si="7"/>
        <v>-8.8816320202351889E-3</v>
      </c>
      <c r="T41" s="219" t="s">
        <v>506</v>
      </c>
      <c r="U41" s="9">
        <f t="shared" si="3"/>
        <v>-3080.7975000000001</v>
      </c>
    </row>
    <row r="42" spans="4:21">
      <c r="D42" s="219" t="s">
        <v>505</v>
      </c>
      <c r="E42" s="123">
        <f>CNS!B38+CRR!B37</f>
        <v>-906.8599999999999</v>
      </c>
      <c r="F42" s="6">
        <f>CNS!C38+CRR!C37</f>
        <v>-906.86</v>
      </c>
      <c r="G42" s="6">
        <f>CNS!D38+CRR!D37</f>
        <v>-906.8599999999999</v>
      </c>
      <c r="H42" s="123">
        <f>CNS!E38+CRR!E37</f>
        <v>-906.8599999999999</v>
      </c>
      <c r="I42" s="6">
        <f>CNS!F38+CRR!F37</f>
        <v>-906.86</v>
      </c>
      <c r="J42" s="6">
        <f>CNS!G38+CRR!G37</f>
        <v>0</v>
      </c>
      <c r="K42" s="123">
        <f>CNS!H38+CRR!H37</f>
        <v>0</v>
      </c>
      <c r="L42" s="6">
        <f>CNS!I38+CRR!I37</f>
        <v>0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-4534.2999999999993</v>
      </c>
      <c r="R42" s="230">
        <f t="shared" si="7"/>
        <v>-3.2679837014078666E-3</v>
      </c>
      <c r="T42" s="219" t="s">
        <v>505</v>
      </c>
      <c r="U42" s="9">
        <f t="shared" si="3"/>
        <v>-1133.5749999999998</v>
      </c>
    </row>
    <row r="43" spans="4:21" outlineLevel="1">
      <c r="D43" s="219" t="s">
        <v>504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504</v>
      </c>
      <c r="U43" s="9">
        <f t="shared" si="3"/>
        <v>0</v>
      </c>
    </row>
    <row r="44" spans="4:21" outlineLevel="1">
      <c r="D44" s="219" t="s">
        <v>503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503</v>
      </c>
      <c r="U44" s="9">
        <f t="shared" si="3"/>
        <v>0</v>
      </c>
    </row>
    <row r="45" spans="4:21" outlineLevel="1">
      <c r="D45" s="219" t="s">
        <v>502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502</v>
      </c>
      <c r="U45" s="9">
        <f t="shared" si="3"/>
        <v>0</v>
      </c>
    </row>
    <row r="46" spans="4:21">
      <c r="D46" s="218" t="s">
        <v>18</v>
      </c>
      <c r="E46" s="212">
        <f>CNS!B42+CRR!B41</f>
        <v>7276.8600000000515</v>
      </c>
      <c r="F46" s="208">
        <f>CNS!C42+CRR!C41</f>
        <v>26201.800000000043</v>
      </c>
      <c r="G46" s="208">
        <f>CNS!D42+CRR!D41</f>
        <v>44097.420000000129</v>
      </c>
      <c r="H46" s="212">
        <f>CNS!E42+CRR!E41</f>
        <v>16467.290000000132</v>
      </c>
      <c r="I46" s="208">
        <f>CNS!F42+CRR!F41</f>
        <v>46245.050000000025</v>
      </c>
      <c r="J46" s="208">
        <f>CNS!G42+CRR!G41</f>
        <v>0</v>
      </c>
      <c r="K46" s="212">
        <f>CNS!H42+CRR!H41</f>
        <v>0</v>
      </c>
      <c r="L46" s="208">
        <f>CNS!I42+CRR!I41</f>
        <v>0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140288.42000000036</v>
      </c>
      <c r="R46" s="12">
        <f>Q46/$Q$7</f>
        <v>0.10110938183540186</v>
      </c>
      <c r="S46" s="12">
        <f>Q46/$Q$27</f>
        <v>0.23419190587666422</v>
      </c>
      <c r="T46" s="330" t="s">
        <v>18</v>
      </c>
      <c r="U46" s="215">
        <f t="shared" si="3"/>
        <v>35072.105000000091</v>
      </c>
    </row>
    <row r="47" spans="4:21">
      <c r="D47" s="221" t="s">
        <v>19</v>
      </c>
      <c r="E47" s="122">
        <f>CNS!B43+CRR!B42</f>
        <v>-1262.8599999999981</v>
      </c>
      <c r="F47" s="10">
        <f>CNS!C43+CRR!C42</f>
        <v>-973.19999999999879</v>
      </c>
      <c r="G47" s="10">
        <f>CNS!D43+CRR!D42</f>
        <v>-337.74999999999795</v>
      </c>
      <c r="H47" s="122">
        <f>CNS!E43+CRR!E42</f>
        <v>-751.95999999999879</v>
      </c>
      <c r="I47" s="10">
        <f>CNS!F43+CRR!F42</f>
        <v>804.12999999999988</v>
      </c>
      <c r="J47" s="10">
        <f>CNS!G43+CRR!G42</f>
        <v>0</v>
      </c>
      <c r="K47" s="122">
        <f>CNS!H43+CRR!H42</f>
        <v>0</v>
      </c>
      <c r="L47" s="10">
        <f>CNS!I43+CRR!I42</f>
        <v>0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-2521.639999999994</v>
      </c>
      <c r="R47" s="230">
        <f t="shared" si="7"/>
        <v>-1.8174091746946861E-3</v>
      </c>
      <c r="T47" s="221" t="s">
        <v>19</v>
      </c>
      <c r="U47" s="11">
        <f t="shared" si="3"/>
        <v>-630.40999999999849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0</v>
      </c>
      <c r="J48" s="10">
        <f>CNS!G44+CRR!G43</f>
        <v>0</v>
      </c>
      <c r="K48" s="122">
        <f>CNS!H44+CRR!H43</f>
        <v>0</v>
      </c>
      <c r="L48" s="10">
        <f>CNS!I44+CRR!I43</f>
        <v>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14.57</v>
      </c>
      <c r="R48" s="230">
        <f t="shared" si="7"/>
        <v>1.0500964322941275E-5</v>
      </c>
      <c r="T48" s="221" t="s">
        <v>20</v>
      </c>
      <c r="U48" s="11">
        <f t="shared" si="3"/>
        <v>3.6425000000000001</v>
      </c>
    </row>
    <row r="49" spans="4:21">
      <c r="D49" s="218" t="s">
        <v>21</v>
      </c>
      <c r="E49" s="212">
        <f>CNS!B45+CRR!B44</f>
        <v>6022.6300000000538</v>
      </c>
      <c r="F49" s="208">
        <f>CNS!C45+CRR!C44</f>
        <v>25230.490000000045</v>
      </c>
      <c r="G49" s="208">
        <f>CNS!D45+CRR!D44</f>
        <v>43760.270000000128</v>
      </c>
      <c r="H49" s="212">
        <f>CNS!E45+CRR!E44</f>
        <v>15718.780000000135</v>
      </c>
      <c r="I49" s="208">
        <f>CNS!F45+CRR!F44</f>
        <v>47049.180000000022</v>
      </c>
      <c r="J49" s="208">
        <f>CNS!G45+CRR!G44</f>
        <v>0</v>
      </c>
      <c r="K49" s="212">
        <f>CNS!H45+CRR!H44</f>
        <v>0</v>
      </c>
      <c r="L49" s="208">
        <f>CNS!I45+CRR!I44</f>
        <v>0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137781.35000000038</v>
      </c>
      <c r="R49" s="12">
        <f>Q49/$Q$7</f>
        <v>9.9302473625030127E-2</v>
      </c>
      <c r="S49" s="12">
        <f>Q49/$Q$27</f>
        <v>0.2300067029820404</v>
      </c>
      <c r="T49" s="330" t="s">
        <v>21</v>
      </c>
      <c r="U49" s="215">
        <f t="shared" si="3"/>
        <v>34445.337500000096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0</v>
      </c>
      <c r="K50" s="122">
        <f>CNS!H46+CRR!H45</f>
        <v>0</v>
      </c>
      <c r="L50" s="10">
        <f>CNS!I46+CRR!I45</f>
        <v>0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-49002.29</v>
      </c>
      <c r="R50" s="230">
        <f t="shared" si="7"/>
        <v>-3.5317179068800414E-2</v>
      </c>
      <c r="T50" s="221" t="s">
        <v>22</v>
      </c>
      <c r="U50" s="11">
        <f t="shared" si="3"/>
        <v>-12250.5725</v>
      </c>
    </row>
    <row r="51" spans="4:21">
      <c r="D51" s="222" t="s">
        <v>537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-6.0323247213557921E-4</v>
      </c>
      <c r="T51" s="331" t="s">
        <v>537</v>
      </c>
      <c r="U51" s="9">
        <f t="shared" si="3"/>
        <v>-209.245</v>
      </c>
    </row>
    <row r="52" spans="4:21">
      <c r="D52" s="222" t="s">
        <v>538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0</v>
      </c>
      <c r="K52" s="123">
        <f>CNS!H48+CRR!H47</f>
        <v>0</v>
      </c>
      <c r="L52" s="6">
        <f>CNS!I48+CRR!I47</f>
        <v>0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-48165.31</v>
      </c>
      <c r="R52" s="230">
        <f t="shared" si="7"/>
        <v>-3.4713946596664831E-2</v>
      </c>
      <c r="T52" s="331" t="s">
        <v>538</v>
      </c>
      <c r="U52" s="9">
        <f t="shared" si="3"/>
        <v>-12041.327499999999</v>
      </c>
    </row>
    <row r="53" spans="4:21">
      <c r="D53" s="223" t="s">
        <v>23</v>
      </c>
      <c r="E53" s="213">
        <f>CNS!B49+CRR!B48</f>
        <v>-4213.9399999999459</v>
      </c>
      <c r="F53" s="211">
        <f>CNS!C49+CRR!C48</f>
        <v>15111.240000000045</v>
      </c>
      <c r="G53" s="211">
        <f>CNS!D49+CRR!D48</f>
        <v>35020.690000000126</v>
      </c>
      <c r="H53" s="213">
        <f>CNS!E49+CRR!E48</f>
        <v>5081.9200000001347</v>
      </c>
      <c r="I53" s="211">
        <f>CNS!F49+CRR!F48</f>
        <v>37779.150000000023</v>
      </c>
      <c r="J53" s="211">
        <f>CNS!G49+CRR!G48</f>
        <v>0</v>
      </c>
      <c r="K53" s="213">
        <f>CNS!H49+CRR!H48</f>
        <v>0</v>
      </c>
      <c r="L53" s="211">
        <f>CNS!I49+CRR!I48</f>
        <v>0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88779.060000000376</v>
      </c>
      <c r="R53" s="12">
        <f>Q53/$Q$7</f>
        <v>6.3985294556229713E-2</v>
      </c>
      <c r="S53" s="12">
        <f>Q53/$Q$27</f>
        <v>0.14820422999516825</v>
      </c>
      <c r="T53" s="332" t="s">
        <v>23</v>
      </c>
      <c r="U53" s="216">
        <f t="shared" si="3"/>
        <v>22194.765000000094</v>
      </c>
    </row>
    <row r="58" spans="4:21">
      <c r="D58" s="13" t="s">
        <v>27</v>
      </c>
      <c r="E58" s="14">
        <f>E46+(-E21)</f>
        <v>109390.36000000004</v>
      </c>
      <c r="F58" s="14">
        <f t="shared" ref="F58:P58" si="8">F46+(-F21)</f>
        <v>48003.240000000049</v>
      </c>
      <c r="G58" s="14">
        <f>G46+(-G21)</f>
        <v>71441.860000000132</v>
      </c>
      <c r="H58" s="14">
        <f>H46+(-H21)</f>
        <v>107981.45000000013</v>
      </c>
      <c r="I58" s="14">
        <f t="shared" si="8"/>
        <v>69509.290000000023</v>
      </c>
      <c r="J58" s="14">
        <f t="shared" si="8"/>
        <v>0</v>
      </c>
      <c r="K58" s="14">
        <f t="shared" si="8"/>
        <v>0</v>
      </c>
      <c r="L58" s="14">
        <f t="shared" si="8"/>
        <v>0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406326.20000000042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0</v>
      </c>
      <c r="K59" s="14">
        <f>IF(K7&gt;0,Caixa!L6,0)</f>
        <v>0</v>
      </c>
      <c r="L59" s="14">
        <f>IF(L7&gt;0,Caixa!M6,0)</f>
        <v>0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347025.9220208989</v>
      </c>
      <c r="G60" s="14">
        <f>'Orçamento 2026'!E129</f>
        <v>394205.32393657457</v>
      </c>
      <c r="H60" s="14">
        <f>'Orçamento 2026'!F129</f>
        <v>391965.86258632777</v>
      </c>
      <c r="I60" s="14">
        <f>'Orçamento 2026'!G129</f>
        <v>440932.16990568576</v>
      </c>
      <c r="J60" s="14">
        <f>'Orçamento 2026'!H129</f>
        <v>431780.28521548636</v>
      </c>
      <c r="K60" s="14">
        <f>'Orçamento 2026'!I129</f>
        <v>371359.24781409069</v>
      </c>
      <c r="L60" s="14">
        <f>'Orçamento 2026'!J129</f>
        <v>350211.4779829196</v>
      </c>
      <c r="M60" s="14">
        <f>'Orçamento 2026'!K129</f>
        <v>380173.47981495562</v>
      </c>
      <c r="N60" s="14">
        <f>'Orçamento 2026'!L129</f>
        <v>363739.49659093411</v>
      </c>
      <c r="O60" s="14">
        <f>'Orçamento 2026'!M129</f>
        <v>396007.19656527723</v>
      </c>
      <c r="P60" s="14">
        <f>'Orçamento 2026'!N129</f>
        <v>429472.03241872747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-20374.012020898925</v>
      </c>
      <c r="G61" s="14">
        <f t="shared" si="9"/>
        <v>-35043.733936574543</v>
      </c>
      <c r="H61" s="14">
        <f t="shared" si="9"/>
        <v>-33158.902586327808</v>
      </c>
      <c r="I61" s="14">
        <f t="shared" si="9"/>
        <v>-17696.689905685664</v>
      </c>
      <c r="J61" s="14">
        <f t="shared" si="9"/>
        <v>0</v>
      </c>
      <c r="K61" s="14">
        <f t="shared" si="9"/>
        <v>0</v>
      </c>
      <c r="L61" s="14">
        <f t="shared" si="9"/>
        <v>0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0.3707567530871525</v>
      </c>
      <c r="F63" s="18">
        <f t="shared" ref="F63:P63" si="10">IF(F58&lt;&gt;0,F58/F7,"")</f>
        <v>0.20220915440154361</v>
      </c>
      <c r="G63" s="18">
        <f t="shared" si="10"/>
        <v>0.26057376162753731</v>
      </c>
      <c r="H63" s="18">
        <f t="shared" si="10"/>
        <v>0.35967365067483897</v>
      </c>
      <c r="I63" s="18">
        <f t="shared" si="10"/>
        <v>0.24766415328868113</v>
      </c>
      <c r="J63" s="18" t="str">
        <f t="shared" si="10"/>
        <v/>
      </c>
      <c r="K63" s="18" t="str">
        <f t="shared" si="10"/>
        <v/>
      </c>
      <c r="L63" s="18" t="str">
        <f t="shared" si="10"/>
        <v/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0.29284948041704228</v>
      </c>
    </row>
    <row r="64" spans="4:21">
      <c r="D64" s="13" t="s">
        <v>32</v>
      </c>
      <c r="E64" s="18">
        <f>IF(E34&lt;&gt;0,E34/E7,"")</f>
        <v>0.10424931121796986</v>
      </c>
      <c r="F64" s="18">
        <f t="shared" ref="F64:Q64" si="11">IF(F34&lt;&gt;0,F34/F7,"")</f>
        <v>0.20865754821099119</v>
      </c>
      <c r="G64" s="18">
        <f>IF(G34&lt;&gt;0,G34/G7,"")</f>
        <v>0.25376035825771032</v>
      </c>
      <c r="H64" s="18">
        <f t="shared" si="11"/>
        <v>0.12523809572979749</v>
      </c>
      <c r="I64" s="18">
        <f t="shared" si="11"/>
        <v>0.23500532513654362</v>
      </c>
      <c r="J64" s="18" t="str">
        <f t="shared" si="11"/>
        <v/>
      </c>
      <c r="K64" s="18" t="str">
        <f t="shared" si="11"/>
        <v/>
      </c>
      <c r="L64" s="18" t="str">
        <f t="shared" si="11"/>
        <v/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0.18264741663809131</v>
      </c>
    </row>
    <row r="65" spans="4:17">
      <c r="D65" s="13" t="s">
        <v>33</v>
      </c>
      <c r="E65" s="18">
        <f>IF(E49&lt;&gt;0,E49/E7,"")</f>
        <v>2.041250018598802E-2</v>
      </c>
      <c r="F65" s="18">
        <f t="shared" ref="F65:Q65" si="12">IF(F49&lt;&gt;0,F49/F7,"")</f>
        <v>0.10628107702806323</v>
      </c>
      <c r="G65" s="18">
        <f t="shared" si="12"/>
        <v>0.15960920059663461</v>
      </c>
      <c r="H65" s="18">
        <f t="shared" si="12"/>
        <v>5.2357427935582339E-2</v>
      </c>
      <c r="I65" s="18">
        <f t="shared" si="12"/>
        <v>0.16763795641743359</v>
      </c>
      <c r="J65" s="18" t="str">
        <f t="shared" si="12"/>
        <v/>
      </c>
      <c r="K65" s="18" t="str">
        <f t="shared" si="12"/>
        <v/>
      </c>
      <c r="L65" s="18" t="str">
        <f t="shared" si="12"/>
        <v/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9.9302473625030127E-2</v>
      </c>
    </row>
    <row r="66" spans="4:17">
      <c r="D66" s="13" t="s">
        <v>34</v>
      </c>
      <c r="E66" s="18">
        <f>IF(E53&lt;&gt;0,E53/E7,"")</f>
        <v>-1.4282307070788092E-2</v>
      </c>
      <c r="F66" s="18">
        <f t="shared" ref="F66:Q66" si="13">IF(F53&lt;&gt;0,F53/F7,"")</f>
        <v>6.365468377465329E-2</v>
      </c>
      <c r="G66" s="18">
        <f t="shared" si="13"/>
        <v>0.12773285757246378</v>
      </c>
      <c r="H66" s="18">
        <f t="shared" si="13"/>
        <v>1.6927284444110763E-2</v>
      </c>
      <c r="I66" s="18">
        <f t="shared" si="13"/>
        <v>0.13460849904690553</v>
      </c>
      <c r="J66" s="18" t="str">
        <f t="shared" si="13"/>
        <v/>
      </c>
      <c r="K66" s="18" t="str">
        <f t="shared" si="13"/>
        <v/>
      </c>
      <c r="L66" s="18" t="str">
        <f t="shared" si="13"/>
        <v/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6.3985294556229713E-2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opLeftCell="B1" zoomScale="110" zoomScaleNormal="110" workbookViewId="0">
      <selection activeCell="K16" sqref="K16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6">
        <v>46192</v>
      </c>
      <c r="N3" s="48"/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400289.01</v>
      </c>
      <c r="L6" s="7">
        <f t="shared" si="0"/>
        <v>0</v>
      </c>
      <c r="M6" s="64">
        <f t="shared" si="0"/>
        <v>0</v>
      </c>
      <c r="N6" s="65">
        <f t="shared" si="0"/>
        <v>0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240608.09999999998</v>
      </c>
      <c r="L7" s="70">
        <f t="shared" si="1"/>
        <v>0</v>
      </c>
      <c r="M7" s="71">
        <f t="shared" si="1"/>
        <v>0</v>
      </c>
      <c r="N7" s="72">
        <f t="shared" si="1"/>
        <v>0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152267.24</v>
      </c>
      <c r="L8" s="75"/>
      <c r="M8" s="76"/>
      <c r="N8" s="77"/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88340.86</v>
      </c>
      <c r="L9" s="75"/>
      <c r="M9" s="76"/>
      <c r="N9" s="77"/>
      <c r="O9" s="75"/>
      <c r="P9" s="76"/>
      <c r="Q9" s="77"/>
      <c r="R9" s="78"/>
      <c r="T9" s="67" t="s">
        <v>101</v>
      </c>
      <c r="U9" s="79">
        <f>U13</f>
        <v>35511.624000000149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130846.38999999998</v>
      </c>
      <c r="L10" s="81">
        <f t="shared" si="2"/>
        <v>0</v>
      </c>
      <c r="M10" s="82">
        <f t="shared" si="2"/>
        <v>0</v>
      </c>
      <c r="N10" s="83">
        <f t="shared" si="2"/>
        <v>0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-35511.624000000149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71466.259999999995</v>
      </c>
      <c r="L11" s="75"/>
      <c r="M11" s="76"/>
      <c r="N11" s="77"/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59380.13</v>
      </c>
      <c r="L12" s="75"/>
      <c r="M12" s="76"/>
      <c r="N12" s="77"/>
      <c r="O12" s="75"/>
      <c r="P12" s="76"/>
      <c r="Q12" s="77"/>
      <c r="R12" s="78"/>
      <c r="T12" s="51" t="s">
        <v>122</v>
      </c>
      <c r="U12" s="79">
        <f>Consolidated!Q53</f>
        <v>88779.060000000376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 t="shared" si="3"/>
        <v>28834.519999999997</v>
      </c>
      <c r="L13" s="81">
        <f t="shared" si="3"/>
        <v>0</v>
      </c>
      <c r="M13" s="82">
        <f t="shared" si="3"/>
        <v>0</v>
      </c>
      <c r="N13" s="83">
        <f t="shared" si="3"/>
        <v>0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35511.624000000149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10699.13</v>
      </c>
      <c r="L14" s="75"/>
      <c r="M14" s="76"/>
      <c r="N14" s="77"/>
      <c r="O14" s="75"/>
      <c r="P14" s="76"/>
      <c r="Q14" s="77"/>
      <c r="R14" s="78"/>
      <c r="T14" s="51" t="s">
        <v>101</v>
      </c>
      <c r="U14" s="52">
        <f>U9/Consolidated!Q53</f>
        <v>0.39999999999999997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18135.39</v>
      </c>
      <c r="L15" s="75"/>
      <c r="M15" s="76"/>
      <c r="N15" s="77"/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-22946.470000000088</v>
      </c>
      <c r="L19" s="17">
        <f t="shared" si="5"/>
        <v>0</v>
      </c>
      <c r="M19" s="17">
        <f t="shared" si="5"/>
        <v>0</v>
      </c>
      <c r="N19" s="17">
        <f t="shared" si="5"/>
        <v>0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77" t="s">
        <v>132</v>
      </c>
      <c r="G42" s="377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77" t="s">
        <v>149</v>
      </c>
      <c r="E61" s="377"/>
      <c r="F61" s="377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22" zoomScale="125" zoomScaleNormal="100" workbookViewId="0">
      <selection activeCell="C69" sqref="C69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3" t="s">
        <v>35</v>
      </c>
      <c r="C1" s="383"/>
      <c r="D1" s="383"/>
      <c r="E1" s="383"/>
      <c r="F1" s="383"/>
      <c r="G1" s="383"/>
      <c r="H1" s="383"/>
      <c r="I1" s="383"/>
      <c r="J1" s="383"/>
      <c r="K1" s="383"/>
      <c r="L1" s="383"/>
      <c r="M1" s="383"/>
      <c r="N1" s="383"/>
      <c r="O1" s="383"/>
      <c r="Q1" s="176"/>
    </row>
    <row r="2" spans="2:22">
      <c r="B2" s="384" t="s">
        <v>561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Q2" s="176"/>
    </row>
    <row r="3" spans="2:22">
      <c r="Q3" s="176"/>
    </row>
    <row r="4" spans="2:22" ht="18" customHeight="1">
      <c r="B4" s="380" t="s">
        <v>36</v>
      </c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  <c r="O4" s="380"/>
      <c r="Q4" s="176"/>
    </row>
    <row r="5" spans="2:22" ht="15.75" customHeight="1">
      <c r="B5" s="20" t="s">
        <v>37</v>
      </c>
      <c r="C5" s="21">
        <f>J6</f>
        <v>280000000</v>
      </c>
      <c r="D5" s="379" t="s">
        <v>38</v>
      </c>
      <c r="E5" s="379"/>
      <c r="F5" s="379"/>
      <c r="G5" s="379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78" t="s">
        <v>40</v>
      </c>
      <c r="E6" s="378"/>
      <c r="F6" s="378"/>
      <c r="G6" s="378"/>
      <c r="I6" s="160" t="s">
        <v>132</v>
      </c>
      <c r="J6" s="161">
        <v>280000000</v>
      </c>
      <c r="K6" s="174" t="s">
        <v>550</v>
      </c>
      <c r="L6" s="175">
        <v>0.02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79" t="s">
        <v>42</v>
      </c>
      <c r="E7" s="379"/>
      <c r="F7" s="379"/>
      <c r="G7" s="379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78" t="s">
        <v>44</v>
      </c>
      <c r="E8" s="378"/>
      <c r="F8" s="378"/>
      <c r="G8" s="378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78"/>
      <c r="E10" s="378"/>
      <c r="F10" s="378"/>
      <c r="G10" s="378"/>
      <c r="I10" s="385" t="s">
        <v>381</v>
      </c>
      <c r="J10" s="385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78"/>
      <c r="E11" s="378"/>
      <c r="F11" s="378"/>
      <c r="G11" s="378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78" t="s">
        <v>48</v>
      </c>
      <c r="E12" s="378"/>
      <c r="F12" s="378"/>
      <c r="G12" s="378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78" t="s">
        <v>48</v>
      </c>
      <c r="E13" s="378"/>
      <c r="F13" s="378"/>
      <c r="G13" s="378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-64908.31</v>
      </c>
      <c r="D14" s="378" t="s">
        <v>51</v>
      </c>
      <c r="E14" s="378"/>
      <c r="F14" s="378"/>
      <c r="G14" s="378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78" t="s">
        <v>51</v>
      </c>
      <c r="E15" s="378"/>
      <c r="F15" s="378"/>
      <c r="G15" s="378"/>
      <c r="I15" s="385" t="s">
        <v>384</v>
      </c>
      <c r="J15" s="385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78" t="s">
        <v>48</v>
      </c>
      <c r="E16" s="378"/>
      <c r="F16" s="378"/>
      <c r="G16" s="378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78" t="s">
        <v>51</v>
      </c>
      <c r="E17" s="378"/>
      <c r="F17" s="378"/>
      <c r="G17" s="378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78" t="s">
        <v>56</v>
      </c>
      <c r="E18" s="378"/>
      <c r="F18" s="378"/>
      <c r="G18" s="378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559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560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594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553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590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0" t="s">
        <v>57</v>
      </c>
      <c r="C25" s="380"/>
      <c r="D25" s="380"/>
      <c r="E25" s="380"/>
      <c r="F25" s="380"/>
      <c r="G25" s="380"/>
      <c r="H25" s="380"/>
      <c r="I25" s="380"/>
      <c r="J25" s="380"/>
      <c r="K25" s="380"/>
      <c r="L25" s="380"/>
      <c r="M25" s="380"/>
      <c r="N25" s="380"/>
      <c r="O25" s="380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318093727.92000002</v>
      </c>
      <c r="H27" s="274">
        <f>G27-T15</f>
        <v>298493523.49000001</v>
      </c>
      <c r="I27" s="28">
        <f>H27*(1+$L$6)</f>
        <v>304463393.9598</v>
      </c>
      <c r="J27" s="274">
        <f>I27-T14</f>
        <v>258102679.66980001</v>
      </c>
      <c r="K27" s="28">
        <f>J27*(1+$L$6)</f>
        <v>263264733.26319602</v>
      </c>
      <c r="L27" s="28">
        <f>K27*(1+$L$6)</f>
        <v>268530027.92845994</v>
      </c>
      <c r="M27" s="28">
        <f t="shared" ref="M27:N27" si="0">L27*(1+$L$6)</f>
        <v>273900628.48702914</v>
      </c>
      <c r="N27" s="28">
        <f t="shared" si="0"/>
        <v>279378641.05676973</v>
      </c>
      <c r="O27" s="244">
        <f>N27</f>
        <v>279378641.05676973</v>
      </c>
      <c r="Q27"/>
    </row>
    <row r="28" spans="1:24">
      <c r="Q28" s="176"/>
    </row>
    <row r="29" spans="1:24" ht="18" customHeight="1">
      <c r="B29" s="380" t="s">
        <v>370</v>
      </c>
      <c r="C29" s="380"/>
      <c r="D29" s="380"/>
      <c r="E29" s="380"/>
      <c r="F29" s="380"/>
      <c r="G29" s="380"/>
      <c r="H29" s="380"/>
      <c r="I29" s="380"/>
      <c r="J29" s="380"/>
      <c r="K29" s="380"/>
      <c r="L29" s="380"/>
      <c r="M29" s="380"/>
      <c r="N29" s="380"/>
      <c r="O29" s="380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686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256047.53413629677</v>
      </c>
      <c r="E31" s="148">
        <f t="shared" si="1"/>
        <v>293824.87120256713</v>
      </c>
      <c r="F31" s="148">
        <f t="shared" si="1"/>
        <v>295705.41660908179</v>
      </c>
      <c r="G31" s="148">
        <f t="shared" si="1"/>
        <v>300509.6089412634</v>
      </c>
      <c r="H31" s="148">
        <f t="shared" si="1"/>
        <v>280556.30485941371</v>
      </c>
      <c r="I31" s="148">
        <f t="shared" si="1"/>
        <v>285057.51495660201</v>
      </c>
      <c r="J31" s="148">
        <f t="shared" si="1"/>
        <v>251628.87379322914</v>
      </c>
      <c r="K31" s="148">
        <f t="shared" si="1"/>
        <v>255551.53526909373</v>
      </c>
      <c r="L31" s="148">
        <f t="shared" si="1"/>
        <v>259552.64997447559</v>
      </c>
      <c r="M31" s="148">
        <f t="shared" si="1"/>
        <v>263633.78697396512</v>
      </c>
      <c r="N31" s="148">
        <f t="shared" si="1"/>
        <v>267796.5467134444</v>
      </c>
      <c r="O31" s="148">
        <f t="shared" ref="O31:O53" si="2">SUM(C31:N31)</f>
        <v>3289123.6717825718</v>
      </c>
      <c r="Q31" s="176"/>
      <c r="S31" s="192"/>
      <c r="W31" t="s">
        <v>9</v>
      </c>
      <c r="X31" s="184">
        <f t="shared" ref="X31:X36" si="3">SUM(C31:G31)</f>
        <v>1425346.4592423481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190339.84365926345</v>
      </c>
      <c r="H32" s="257">
        <f>G32-U15</f>
        <v>173755.42365926344</v>
      </c>
      <c r="I32" s="257">
        <f>H32*(1+$L$6)</f>
        <v>177230.53213244872</v>
      </c>
      <c r="J32" s="257">
        <f>I32*(1+$L$6)-U14</f>
        <v>151770.3727750977</v>
      </c>
      <c r="K32" s="257">
        <f>J32*(1+$L$6)</f>
        <v>154805.78023059966</v>
      </c>
      <c r="L32" s="257">
        <f>K32*(1+$L$6)</f>
        <v>157901.89583521165</v>
      </c>
      <c r="M32" s="257">
        <f>L32*(1+$L$6)</f>
        <v>161059.93375191587</v>
      </c>
      <c r="N32" s="257">
        <f>M32*(1+$L$6)</f>
        <v>164281.13242695419</v>
      </c>
      <c r="O32" s="257">
        <f>SUM(C32:N32)</f>
        <v>2058942.9847120408</v>
      </c>
      <c r="P32" s="251"/>
      <c r="Q32" s="176"/>
      <c r="W32" t="s">
        <v>225</v>
      </c>
      <c r="X32" s="184">
        <f t="shared" si="3"/>
        <v>918137.91390054976</v>
      </c>
    </row>
    <row r="33" spans="1:24" ht="15.75" customHeight="1" outlineLevel="1">
      <c r="A33" s="251"/>
      <c r="B33" s="256" t="s">
        <v>556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13279.787899924644</v>
      </c>
      <c r="H33" s="257">
        <f t="shared" si="5"/>
        <v>12461.517890869247</v>
      </c>
      <c r="I33" s="257">
        <f>I27*$C$20</f>
        <v>12710.748248686632</v>
      </c>
      <c r="J33" s="257">
        <f>J27*$C$20</f>
        <v>10775.279553072984</v>
      </c>
      <c r="K33" s="257">
        <f>K27*$C$20</f>
        <v>10990.785144134443</v>
      </c>
      <c r="L33" s="257">
        <f t="shared" si="5"/>
        <v>11210.600847017131</v>
      </c>
      <c r="M33" s="257">
        <f t="shared" si="5"/>
        <v>11434.812863957473</v>
      </c>
      <c r="N33" s="257">
        <f t="shared" si="5"/>
        <v>11663.509121236624</v>
      </c>
      <c r="O33" s="257">
        <f t="shared" ref="O33:O36" si="6">SUM(C33:N33)</f>
        <v>145304.66027956983</v>
      </c>
      <c r="P33" s="251"/>
      <c r="Q33" s="176"/>
      <c r="W33" t="s">
        <v>556</v>
      </c>
      <c r="X33" s="184">
        <f t="shared" si="3"/>
        <v>64057.406610595288</v>
      </c>
    </row>
    <row r="34" spans="1:24" ht="15.75" customHeight="1" outlineLevel="1">
      <c r="A34" s="251"/>
      <c r="B34" s="256" t="s">
        <v>540</v>
      </c>
      <c r="C34" s="257">
        <f>CNS!B11</f>
        <v>34000</v>
      </c>
      <c r="D34" s="257" t="str">
        <f>CNS!C11</f>
        <v>0,00</v>
      </c>
      <c r="E34" s="257">
        <f>CNS!D11</f>
        <v>34000</v>
      </c>
      <c r="F34" s="257">
        <f>CNS!E11</f>
        <v>34000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540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557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41394.177382075344</v>
      </c>
      <c r="H36" s="257">
        <f t="shared" si="9"/>
        <v>38843.563309281031</v>
      </c>
      <c r="I36" s="257">
        <f t="shared" si="9"/>
        <v>39620.43457546665</v>
      </c>
      <c r="J36" s="257">
        <f t="shared" si="9"/>
        <v>33587.421465058462</v>
      </c>
      <c r="K36" s="257">
        <f t="shared" si="9"/>
        <v>34259.169894359628</v>
      </c>
      <c r="L36" s="257">
        <f t="shared" si="9"/>
        <v>34944.353292246822</v>
      </c>
      <c r="M36" s="257">
        <f t="shared" si="9"/>
        <v>35643.24035809176</v>
      </c>
      <c r="N36" s="257">
        <f t="shared" si="9"/>
        <v>36356.105165253597</v>
      </c>
      <c r="O36" s="257">
        <f t="shared" si="6"/>
        <v>452926.42679096118</v>
      </c>
      <c r="P36" s="251"/>
      <c r="Q36" s="176"/>
      <c r="W36" t="s">
        <v>557</v>
      </c>
      <c r="X36" s="184">
        <f t="shared" si="3"/>
        <v>199672.13873120319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81935.21092361497</v>
      </c>
      <c r="E37" s="148">
        <f t="shared" si="10"/>
        <v>94023.958784821487</v>
      </c>
      <c r="F37" s="148">
        <f>F31*$T$6</f>
        <v>94625.733314906174</v>
      </c>
      <c r="G37" s="148">
        <f t="shared" si="10"/>
        <v>96163.074861204295</v>
      </c>
      <c r="H37" s="148">
        <f>H31*$T$6</f>
        <v>89778.017555012382</v>
      </c>
      <c r="I37" s="148">
        <f t="shared" si="10"/>
        <v>91218.404786112646</v>
      </c>
      <c r="J37" s="148">
        <f t="shared" si="10"/>
        <v>80521.239613833328</v>
      </c>
      <c r="K37" s="148">
        <f t="shared" si="10"/>
        <v>81776.491286110002</v>
      </c>
      <c r="L37" s="148">
        <f t="shared" si="10"/>
        <v>83056.847991832183</v>
      </c>
      <c r="M37" s="148">
        <f t="shared" si="10"/>
        <v>84362.811831668834</v>
      </c>
      <c r="N37" s="148">
        <f t="shared" si="10"/>
        <v>85694.894948302215</v>
      </c>
      <c r="O37" s="148">
        <f>SUM(C37:N37)</f>
        <v>1052519.574970423</v>
      </c>
      <c r="Q37" s="176"/>
    </row>
    <row r="38" spans="1:24" ht="15.75" customHeight="1">
      <c r="B38" s="30" t="s">
        <v>11</v>
      </c>
      <c r="C38" s="31">
        <f t="shared" ref="C38:N38" si="11">SUM(C39:C43)</f>
        <v>-199589.29569184981</v>
      </c>
      <c r="D38" s="31">
        <f t="shared" si="11"/>
        <v>-137961.5079576892</v>
      </c>
      <c r="E38" s="31">
        <f t="shared" si="11"/>
        <v>-144874.59008546331</v>
      </c>
      <c r="F38" s="31">
        <f>SUM(F39:F43)</f>
        <v>-195694.38698869682</v>
      </c>
      <c r="G38" s="31">
        <f t="shared" si="11"/>
        <v>-148684.89059652018</v>
      </c>
      <c r="H38" s="31">
        <f t="shared" si="11"/>
        <v>-137311.50726986583</v>
      </c>
      <c r="I38" s="31">
        <f t="shared" si="11"/>
        <v>-192483.4768498487</v>
      </c>
      <c r="J38" s="31">
        <f t="shared" si="11"/>
        <v>-120822.87156214062</v>
      </c>
      <c r="K38" s="31">
        <f t="shared" si="11"/>
        <v>-123058.78860338344</v>
      </c>
      <c r="L38" s="31">
        <f t="shared" si="11"/>
        <v>-172873.69942658659</v>
      </c>
      <c r="M38" s="31">
        <f t="shared" si="11"/>
        <v>-127665.67207516012</v>
      </c>
      <c r="N38" s="31">
        <f t="shared" si="11"/>
        <v>-130038.44512666333</v>
      </c>
      <c r="O38" s="31">
        <f>SUM(C38:N38)</f>
        <v>-1831059.1322338677</v>
      </c>
      <c r="Q38" s="176"/>
    </row>
    <row r="39" spans="1:24" ht="15.75" customHeight="1">
      <c r="B39" s="32" t="s">
        <v>73</v>
      </c>
      <c r="C39" s="33">
        <f>Consolidated!E21-'Orçamento 2026'!C40</f>
        <v>-55999.65</v>
      </c>
      <c r="D39" s="33">
        <f>D31*$C$10</f>
        <v>-35846.654779081553</v>
      </c>
      <c r="E39" s="33">
        <f>E31*$C$10</f>
        <v>-41135.481968359403</v>
      </c>
      <c r="F39" s="33">
        <f>F31*$C$10</f>
        <v>-41398.758325271454</v>
      </c>
      <c r="G39" s="33">
        <f>G31*$C$10</f>
        <v>-42071.345251776882</v>
      </c>
      <c r="H39" s="33">
        <f t="shared" ref="H39:O39" si="12">H31*$C$10</f>
        <v>-39277.882680317925</v>
      </c>
      <c r="I39" s="33">
        <f>I31*$C$10</f>
        <v>-39908.052093924285</v>
      </c>
      <c r="J39" s="33">
        <f t="shared" si="12"/>
        <v>-35228.042331052086</v>
      </c>
      <c r="K39" s="33">
        <f t="shared" si="12"/>
        <v>-35777.214937673125</v>
      </c>
      <c r="L39" s="33">
        <f t="shared" si="12"/>
        <v>-36337.370996426587</v>
      </c>
      <c r="M39" s="33">
        <f t="shared" si="12"/>
        <v>-36908.730176355122</v>
      </c>
      <c r="N39" s="33">
        <f t="shared" si="12"/>
        <v>-37491.516539882221</v>
      </c>
      <c r="O39" s="34">
        <f t="shared" si="12"/>
        <v>-460477.31404956011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-49747.886021520171</v>
      </c>
      <c r="G40" s="33"/>
      <c r="H40" s="33"/>
      <c r="I40" s="33">
        <f>SUM(F31:H31)*$C$9</f>
        <v>-52606.279824585537</v>
      </c>
      <c r="J40" s="33"/>
      <c r="K40" s="33"/>
      <c r="L40" s="33">
        <f>SUM(I31:K31)*$C$9</f>
        <v>-47534.275441135491</v>
      </c>
      <c r="M40" s="33"/>
      <c r="N40" s="33"/>
      <c r="O40" s="34">
        <f t="shared" si="2"/>
        <v>-196002.29128724118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-105355.93784474328</v>
      </c>
      <c r="H41" s="33">
        <f t="shared" si="13"/>
        <v>-96776.017089547895</v>
      </c>
      <c r="I41" s="33">
        <f t="shared" si="13"/>
        <v>-98711.53743133886</v>
      </c>
      <c r="J41" s="33">
        <f t="shared" si="13"/>
        <v>-84337.221731088532</v>
      </c>
      <c r="K41" s="33">
        <f t="shared" si="13"/>
        <v>-86023.966165710313</v>
      </c>
      <c r="L41" s="33">
        <f t="shared" si="13"/>
        <v>-87744.445489024511</v>
      </c>
      <c r="M41" s="33">
        <f t="shared" si="13"/>
        <v>-89499.334398805004</v>
      </c>
      <c r="N41" s="33">
        <f t="shared" si="13"/>
        <v>-91289.321086781099</v>
      </c>
      <c r="O41" s="34">
        <f t="shared" si="2"/>
        <v>-1142584.8508665061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79669.73266128925</v>
      </c>
      <c r="D44" s="36">
        <f t="shared" si="16"/>
        <v>118086.02617860757</v>
      </c>
      <c r="E44" s="36">
        <f t="shared" si="16"/>
        <v>148950.28111710382</v>
      </c>
      <c r="F44" s="36">
        <f>F31+F38</f>
        <v>100011.02962038497</v>
      </c>
      <c r="G44" s="36">
        <f t="shared" si="16"/>
        <v>151824.71834474322</v>
      </c>
      <c r="H44" s="36">
        <f t="shared" si="16"/>
        <v>143244.79758954787</v>
      </c>
      <c r="I44" s="36">
        <f t="shared" si="16"/>
        <v>92574.038106753316</v>
      </c>
      <c r="J44" s="36">
        <f t="shared" si="16"/>
        <v>130806.00223108853</v>
      </c>
      <c r="K44" s="36">
        <f t="shared" si="16"/>
        <v>132492.74666571029</v>
      </c>
      <c r="L44" s="36">
        <f t="shared" si="16"/>
        <v>86678.950547888991</v>
      </c>
      <c r="M44" s="36">
        <f t="shared" si="16"/>
        <v>135968.11489880498</v>
      </c>
      <c r="N44" s="36">
        <f>N31+N38</f>
        <v>137758.10158678109</v>
      </c>
      <c r="O44" s="37">
        <f>SUM(C44:N44)</f>
        <v>1458064.5395487039</v>
      </c>
      <c r="Q44" s="176"/>
    </row>
    <row r="45" spans="1:24" ht="15.75" customHeight="1">
      <c r="B45" s="30" t="s">
        <v>15</v>
      </c>
      <c r="C45" s="31">
        <f>$C$14*(1+$C$8)^0</f>
        <v>-64908.31</v>
      </c>
      <c r="D45" s="31">
        <f>$C$14*(1+$C$8)^1</f>
        <v>-65198.560419534093</v>
      </c>
      <c r="E45" s="31">
        <f>$C$14*(1+$C$8)^2</f>
        <v>-65490.108751554879</v>
      </c>
      <c r="F45" s="31">
        <f>$C$14*(1+$C$8)^3</f>
        <v>-65782.960799936234</v>
      </c>
      <c r="G45" s="31">
        <f>$C$14*(1+$C$8)^4</f>
        <v>-66077.12239450519</v>
      </c>
      <c r="H45" s="31">
        <f>$C$14*(1+$C$8)^5</f>
        <v>-66372.599391158015</v>
      </c>
      <c r="I45" s="31">
        <f>$C$14*(1+$C$8)^6</f>
        <v>-66669.397671976782</v>
      </c>
      <c r="J45" s="31">
        <f>$C$14*(1+$C$8)^7</f>
        <v>-66967.52314534648</v>
      </c>
      <c r="K45" s="31">
        <f>$C$14*(1+$C$8)^8</f>
        <v>-67266.981746072575</v>
      </c>
      <c r="L45" s="31">
        <f>$C$14*(1+$C$8)^9</f>
        <v>-67567.779435499237</v>
      </c>
      <c r="M45" s="31">
        <f>$C$14*(1+$C$8)^10</f>
        <v>-67869.922201627953</v>
      </c>
      <c r="N45" s="31">
        <f>$C$14*(1+$C$8)^11</f>
        <v>-68173.41605923677</v>
      </c>
      <c r="O45" s="31">
        <f t="shared" si="2"/>
        <v>-798344.68201644812</v>
      </c>
      <c r="Q45" s="176"/>
    </row>
    <row r="46" spans="1:24" ht="15.75" customHeight="1">
      <c r="B46" s="35" t="s">
        <v>16</v>
      </c>
      <c r="C46" s="36">
        <f t="shared" ref="C46:N46" si="17">C44+C45</f>
        <v>14761.422661289253</v>
      </c>
      <c r="D46" s="36">
        <f t="shared" si="17"/>
        <v>52887.465759073479</v>
      </c>
      <c r="E46" s="36">
        <f t="shared" si="17"/>
        <v>83460.172365548933</v>
      </c>
      <c r="F46" s="36">
        <f>F44+F45</f>
        <v>34228.068820448738</v>
      </c>
      <c r="G46" s="36">
        <f t="shared" si="17"/>
        <v>85747.595950238028</v>
      </c>
      <c r="H46" s="36">
        <f t="shared" si="17"/>
        <v>76872.198198389859</v>
      </c>
      <c r="I46" s="36">
        <f t="shared" si="17"/>
        <v>25904.640434776535</v>
      </c>
      <c r="J46" s="36">
        <f t="shared" si="17"/>
        <v>63838.479085742045</v>
      </c>
      <c r="K46" s="36">
        <f t="shared" si="17"/>
        <v>65225.764919637717</v>
      </c>
      <c r="L46" s="36">
        <f t="shared" si="17"/>
        <v>19111.171112389755</v>
      </c>
      <c r="M46" s="36">
        <f t="shared" si="17"/>
        <v>68098.19269717703</v>
      </c>
      <c r="N46" s="36">
        <f t="shared" si="17"/>
        <v>69584.685527544323</v>
      </c>
      <c r="O46" s="37">
        <f t="shared" si="2"/>
        <v>659719.8575322557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-8594.0573387107434</v>
      </c>
      <c r="D48" s="36">
        <f t="shared" si="18"/>
        <v>29427.547084450463</v>
      </c>
      <c r="E48" s="36">
        <f t="shared" si="18"/>
        <v>59895.347997994686</v>
      </c>
      <c r="F48" s="36">
        <f>F46+F47</f>
        <v>10557.869653289792</v>
      </c>
      <c r="G48" s="36">
        <f t="shared" si="18"/>
        <v>61971.55077909711</v>
      </c>
      <c r="H48" s="36">
        <f t="shared" si="18"/>
        <v>52989.833711805579</v>
      </c>
      <c r="I48" s="36">
        <f t="shared" si="18"/>
        <v>1915.4812047811756</v>
      </c>
      <c r="J48" s="36">
        <f t="shared" si="18"/>
        <v>39742.047558397142</v>
      </c>
      <c r="K48" s="36">
        <f t="shared" si="18"/>
        <v>41021.581405527388</v>
      </c>
      <c r="L48" s="36">
        <f t="shared" si="18"/>
        <v>-5201.2462229285375</v>
      </c>
      <c r="M48" s="36">
        <f t="shared" si="18"/>
        <v>43677.057551589707</v>
      </c>
      <c r="N48" s="36">
        <f t="shared" si="18"/>
        <v>45054.346418373512</v>
      </c>
      <c r="O48" s="37">
        <f>SUM(C48:N48)</f>
        <v>372457.35980366729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-1024.1901365451872</v>
      </c>
      <c r="E49" s="33">
        <f t="shared" si="19"/>
        <v>-1175.2994848102685</v>
      </c>
      <c r="F49" s="33">
        <f t="shared" si="19"/>
        <v>-1182.8216664363272</v>
      </c>
      <c r="G49" s="33">
        <f t="shared" si="19"/>
        <v>-1202.0384357650537</v>
      </c>
      <c r="H49" s="33">
        <f t="shared" si="19"/>
        <v>-1122.2252194376549</v>
      </c>
      <c r="I49" s="33">
        <f t="shared" si="19"/>
        <v>-1140.230059826408</v>
      </c>
      <c r="J49" s="33">
        <f t="shared" si="19"/>
        <v>-1006.5154951729165</v>
      </c>
      <c r="K49" s="33">
        <f t="shared" si="19"/>
        <v>-1022.2061410763749</v>
      </c>
      <c r="L49" s="33">
        <f t="shared" si="19"/>
        <v>-1038.2105998979023</v>
      </c>
      <c r="M49" s="33">
        <f t="shared" si="19"/>
        <v>-1054.5351478958605</v>
      </c>
      <c r="N49" s="33">
        <f t="shared" si="19"/>
        <v>-1071.1861868537776</v>
      </c>
      <c r="O49" s="34">
        <f t="shared" si="2"/>
        <v>-13156.494687130287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-9711.0934521232994</v>
      </c>
      <c r="D51" s="36">
        <f t="shared" ref="D51:N51" si="21">D48+D49+D50</f>
        <v>28403.356947905275</v>
      </c>
      <c r="E51" s="36">
        <f t="shared" si="21"/>
        <v>58720.048513184418</v>
      </c>
      <c r="F51" s="36">
        <f>F48+F49+F50</f>
        <v>9375.047986853464</v>
      </c>
      <c r="G51" s="36">
        <f t="shared" si="21"/>
        <v>60769.512343332055</v>
      </c>
      <c r="H51" s="36">
        <f t="shared" si="21"/>
        <v>51867.608492367923</v>
      </c>
      <c r="I51" s="36">
        <f t="shared" si="21"/>
        <v>775.2511449547676</v>
      </c>
      <c r="J51" s="36">
        <f t="shared" si="21"/>
        <v>38735.532063224222</v>
      </c>
      <c r="K51" s="36">
        <f t="shared" si="21"/>
        <v>39999.37526445101</v>
      </c>
      <c r="L51" s="36">
        <f t="shared" si="21"/>
        <v>-6239.4568228264397</v>
      </c>
      <c r="M51" s="36">
        <f t="shared" si="21"/>
        <v>42622.522403693845</v>
      </c>
      <c r="N51" s="36">
        <f t="shared" si="21"/>
        <v>43983.160231519738</v>
      </c>
      <c r="O51" s="37">
        <f t="shared" si="2"/>
        <v>359300.86511653697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-10056.854927006381</v>
      </c>
      <c r="E52" s="31">
        <f t="shared" ref="E52:N52" si="22">E31*$C$17</f>
        <v>-11540.646597508725</v>
      </c>
      <c r="F52" s="31">
        <f t="shared" si="22"/>
        <v>-11614.509337100269</v>
      </c>
      <c r="G52" s="31">
        <f t="shared" si="22"/>
        <v>-11803.205023974053</v>
      </c>
      <c r="H52" s="31">
        <f t="shared" si="22"/>
        <v>-11019.493182567334</v>
      </c>
      <c r="I52" s="31">
        <f t="shared" si="22"/>
        <v>-11196.288546350461</v>
      </c>
      <c r="J52" s="31">
        <f t="shared" si="22"/>
        <v>-9883.3018943952848</v>
      </c>
      <c r="K52" s="31">
        <f t="shared" si="22"/>
        <v>-10037.37343241497</v>
      </c>
      <c r="L52" s="31">
        <f t="shared" si="22"/>
        <v>-10194.526401195048</v>
      </c>
      <c r="M52" s="31">
        <f t="shared" si="22"/>
        <v>-10354.822429350726</v>
      </c>
      <c r="N52" s="31">
        <f t="shared" si="22"/>
        <v>-10518.324378069519</v>
      </c>
      <c r="O52" s="31">
        <f t="shared" si="2"/>
        <v>-129187.88581846678</v>
      </c>
      <c r="Q52" s="176"/>
    </row>
    <row r="53" spans="2:17" ht="15.75" customHeight="1">
      <c r="B53" s="39" t="s">
        <v>23</v>
      </c>
      <c r="C53" s="40">
        <f>C51+C52</f>
        <v>-20679.633120657287</v>
      </c>
      <c r="D53" s="40">
        <f t="shared" ref="D53:N53" si="23">D51+D52</f>
        <v>18346.502020898894</v>
      </c>
      <c r="E53" s="40">
        <f t="shared" si="23"/>
        <v>47179.401915675691</v>
      </c>
      <c r="F53" s="40">
        <f>F51+F52</f>
        <v>-2239.4613502468055</v>
      </c>
      <c r="G53" s="40">
        <f t="shared" si="23"/>
        <v>48966.307319358006</v>
      </c>
      <c r="H53" s="40">
        <f t="shared" si="23"/>
        <v>40848.115309800589</v>
      </c>
      <c r="I53" s="40">
        <f t="shared" si="23"/>
        <v>-10421.037401395693</v>
      </c>
      <c r="J53" s="40">
        <f t="shared" si="23"/>
        <v>28852.230168828937</v>
      </c>
      <c r="K53" s="40">
        <f t="shared" si="23"/>
        <v>29962.00183203604</v>
      </c>
      <c r="L53" s="40">
        <f t="shared" si="23"/>
        <v>-16433.983224021489</v>
      </c>
      <c r="M53" s="40">
        <f t="shared" si="23"/>
        <v>32267.699974343119</v>
      </c>
      <c r="N53" s="40">
        <f t="shared" si="23"/>
        <v>33464.835853450219</v>
      </c>
      <c r="O53" s="37">
        <f t="shared" si="2"/>
        <v>230112.97929807025</v>
      </c>
      <c r="Q53" s="176"/>
    </row>
    <row r="54" spans="2:17">
      <c r="Q54" s="176"/>
    </row>
    <row r="55" spans="2:17" ht="18" customHeight="1">
      <c r="B55" s="380" t="s">
        <v>80</v>
      </c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93519.442661289257</v>
      </c>
      <c r="D57" s="157">
        <f t="shared" si="24"/>
        <v>65274.201863532042</v>
      </c>
      <c r="E57" s="157">
        <f>E31+E41+E42+E43+E45+E47</f>
        <v>101030.8299663541</v>
      </c>
      <c r="F57" s="157">
        <f t="shared" si="24"/>
        <v>101704.51400008143</v>
      </c>
      <c r="G57" s="157">
        <f t="shared" si="24"/>
        <v>104042.89603087399</v>
      </c>
      <c r="H57" s="157">
        <f t="shared" si="24"/>
        <v>92267.716392123519</v>
      </c>
      <c r="I57" s="157">
        <f t="shared" si="24"/>
        <v>94429.813123290995</v>
      </c>
      <c r="J57" s="157">
        <f t="shared" si="24"/>
        <v>74970.089889449213</v>
      </c>
      <c r="K57" s="157">
        <f t="shared" si="24"/>
        <v>76798.796343200491</v>
      </c>
      <c r="L57" s="157">
        <f t="shared" si="24"/>
        <v>78670.400214633526</v>
      </c>
      <c r="M57" s="157">
        <f t="shared" si="24"/>
        <v>80585.787727944844</v>
      </c>
      <c r="N57" s="157">
        <f t="shared" si="24"/>
        <v>82545.862958255719</v>
      </c>
      <c r="O57" s="157">
        <f>SUM(C57:N57)</f>
        <v>1045840.351171029</v>
      </c>
      <c r="Q57" s="176"/>
    </row>
    <row r="58" spans="2:17" ht="15" customHeight="1">
      <c r="B58" s="41" t="s">
        <v>31</v>
      </c>
      <c r="C58" s="42">
        <f t="shared" ref="C58:N58" si="25">IFERROR(C57/C31,0)</f>
        <v>0.33488422276907931</v>
      </c>
      <c r="D58" s="42">
        <f t="shared" si="25"/>
        <v>0.25493001556806988</v>
      </c>
      <c r="E58" s="42">
        <f t="shared" si="25"/>
        <v>0.34384710032494825</v>
      </c>
      <c r="F58" s="42">
        <f t="shared" si="25"/>
        <v>0.3439386236692894</v>
      </c>
      <c r="G58" s="42">
        <f t="shared" si="25"/>
        <v>0.34622152814823925</v>
      </c>
      <c r="H58" s="42">
        <f t="shared" si="25"/>
        <v>0.32887415037191453</v>
      </c>
      <c r="I58" s="42">
        <f t="shared" si="25"/>
        <v>0.33126582590768489</v>
      </c>
      <c r="J58" s="42">
        <f t="shared" si="25"/>
        <v>0.2979391385388242</v>
      </c>
      <c r="K58" s="42">
        <f t="shared" si="25"/>
        <v>0.30052175684380833</v>
      </c>
      <c r="L58" s="42">
        <f t="shared" si="25"/>
        <v>0.30309996920613208</v>
      </c>
      <c r="M58" s="42">
        <f t="shared" si="25"/>
        <v>0.30567321682445431</v>
      </c>
      <c r="N58" s="42">
        <f t="shared" si="25"/>
        <v>0.3082409537064863</v>
      </c>
      <c r="O58" s="42">
        <f>AVERAGE(C58:N58)</f>
        <v>0.31661970848991094</v>
      </c>
      <c r="Q58" s="176"/>
    </row>
    <row r="59" spans="2:17" ht="15" customHeight="1">
      <c r="B59" s="41" t="s">
        <v>32</v>
      </c>
      <c r="C59" s="42">
        <f t="shared" ref="C59:N59" si="26">IFERROR(C46/C31,0)</f>
        <v>5.2859249523072131E-2</v>
      </c>
      <c r="D59" s="42">
        <f t="shared" si="26"/>
        <v>0.20655331025730922</v>
      </c>
      <c r="E59" s="42">
        <f t="shared" si="26"/>
        <v>0.28404733753124078</v>
      </c>
      <c r="F59" s="42">
        <f t="shared" si="26"/>
        <v>0.11575056423703507</v>
      </c>
      <c r="G59" s="42">
        <f t="shared" si="26"/>
        <v>0.2853406127422633</v>
      </c>
      <c r="H59" s="42">
        <f t="shared" si="26"/>
        <v>0.27399918257730971</v>
      </c>
      <c r="I59" s="42">
        <f t="shared" si="26"/>
        <v>9.0875135983418412E-2</v>
      </c>
      <c r="J59" s="42">
        <f t="shared" si="26"/>
        <v>0.25370092916363807</v>
      </c>
      <c r="K59" s="42">
        <f t="shared" si="26"/>
        <v>0.25523526928122542</v>
      </c>
      <c r="L59" s="42">
        <f t="shared" si="26"/>
        <v>7.3631192416140412E-2</v>
      </c>
      <c r="M59" s="42">
        <f t="shared" si="26"/>
        <v>0.25830601410699305</v>
      </c>
      <c r="N59" s="42">
        <f t="shared" si="26"/>
        <v>0.25984160879416934</v>
      </c>
      <c r="O59" s="42">
        <f>AVERAGE(C59:N59)</f>
        <v>0.20084503388448458</v>
      </c>
      <c r="Q59" s="176"/>
    </row>
    <row r="60" spans="2:17" ht="15" customHeight="1">
      <c r="B60" s="41" t="s">
        <v>83</v>
      </c>
      <c r="C60" s="42">
        <f t="shared" ref="C60:N60" si="27">IFERROR(C51/C31,0)</f>
        <v>-3.4774501327287669E-2</v>
      </c>
      <c r="D60" s="42">
        <f t="shared" si="27"/>
        <v>0.11093001556806976</v>
      </c>
      <c r="E60" s="42">
        <f t="shared" si="27"/>
        <v>0.19984710032494821</v>
      </c>
      <c r="F60" s="42">
        <f t="shared" si="27"/>
        <v>3.1704011696367197E-2</v>
      </c>
      <c r="G60" s="42">
        <f t="shared" si="27"/>
        <v>0.20222152814823921</v>
      </c>
      <c r="H60" s="42">
        <f t="shared" si="27"/>
        <v>0.18487415037191446</v>
      </c>
      <c r="I60" s="42">
        <f t="shared" si="27"/>
        <v>2.7196306158523628E-3</v>
      </c>
      <c r="J60" s="42">
        <f t="shared" si="27"/>
        <v>0.15393913853882424</v>
      </c>
      <c r="K60" s="42">
        <f t="shared" si="27"/>
        <v>0.15652175684380837</v>
      </c>
      <c r="L60" s="42">
        <f t="shared" si="27"/>
        <v>-2.4039272276511252E-2</v>
      </c>
      <c r="M60" s="42">
        <f t="shared" si="27"/>
        <v>0.16167321682445424</v>
      </c>
      <c r="N60" s="42">
        <f t="shared" si="27"/>
        <v>0.16424095370648636</v>
      </c>
      <c r="O60" s="42">
        <f>AVERAGE(C60:N60)</f>
        <v>0.10915481075293045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-7.4051797868847066E-2</v>
      </c>
      <c r="D61" s="165">
        <f t="shared" si="28"/>
        <v>7.1652719026510367E-2</v>
      </c>
      <c r="E61" s="165">
        <f t="shared" si="28"/>
        <v>0.16056980378338881</v>
      </c>
      <c r="F61" s="165">
        <f t="shared" si="28"/>
        <v>-7.5732848451922023E-3</v>
      </c>
      <c r="G61" s="165">
        <f t="shared" si="28"/>
        <v>0.16294423160667981</v>
      </c>
      <c r="H61" s="165">
        <f t="shared" si="28"/>
        <v>0.14559685383035506</v>
      </c>
      <c r="I61" s="165">
        <f t="shared" si="28"/>
        <v>-3.6557665925707035E-2</v>
      </c>
      <c r="J61" s="165">
        <f t="shared" si="28"/>
        <v>0.11466184199726485</v>
      </c>
      <c r="K61" s="165">
        <f t="shared" si="28"/>
        <v>0.11724446030224898</v>
      </c>
      <c r="L61" s="165">
        <f t="shared" si="28"/>
        <v>-6.3316568818070657E-2</v>
      </c>
      <c r="M61" s="165">
        <f t="shared" si="28"/>
        <v>0.12239592028289485</v>
      </c>
      <c r="N61" s="165">
        <f t="shared" si="28"/>
        <v>0.12496365716492698</v>
      </c>
      <c r="O61" s="165">
        <f>AVERAGE(C61:N61)</f>
        <v>6.9877514211371061E-2</v>
      </c>
      <c r="Q61" s="176"/>
    </row>
    <row r="62" spans="2:17" ht="16" thickTop="1">
      <c r="Q62" s="176"/>
    </row>
    <row r="63" spans="2:17" ht="18" customHeight="1">
      <c r="B63" s="380" t="s">
        <v>84</v>
      </c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Q63" s="176"/>
    </row>
    <row r="64" spans="2:17">
      <c r="B64" s="386" t="s">
        <v>85</v>
      </c>
      <c r="C64" s="386"/>
      <c r="D64" s="386"/>
      <c r="E64" s="386"/>
      <c r="F64" s="386"/>
      <c r="G64" s="386"/>
      <c r="H64" s="386"/>
      <c r="I64" s="386"/>
      <c r="J64" s="386"/>
      <c r="K64" s="386"/>
      <c r="L64" s="386"/>
      <c r="M64" s="386"/>
      <c r="N64" s="386"/>
      <c r="O64" s="386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2" t="s">
        <v>371</v>
      </c>
      <c r="C66" s="382"/>
      <c r="D66" s="382"/>
      <c r="E66" s="382"/>
      <c r="F66" s="382"/>
      <c r="G66" s="382"/>
      <c r="H66" s="382"/>
      <c r="I66" s="382"/>
      <c r="J66" s="382"/>
      <c r="K66" s="382"/>
      <c r="L66" s="382"/>
      <c r="M66" s="382"/>
      <c r="N66" s="382"/>
      <c r="O66" s="382"/>
      <c r="P66" s="382"/>
      <c r="Q66" s="382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 t="str">
        <f>IF(OR(Consolidated!J4=0,Consolidated!J4=""),"",Consolidated!J4)</f>
        <v/>
      </c>
      <c r="I69" s="154" t="str">
        <f>IF(OR(Consolidated!K4=0,Consolidated!K4=""),"",Consolidated!K4)</f>
        <v/>
      </c>
      <c r="J69" s="154" t="str">
        <f>IF(OR(Consolidated!L4=0,Consolidated!L4=""),"",Consolidated!L4)</f>
        <v/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312069591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 t="str">
        <f t="shared" ref="H70" si="35">IFERROR(IF(H69="","",(H69-H68)/ABS(H68)),"—")</f>
        <v/>
      </c>
      <c r="I70" s="44" t="str">
        <f t="shared" ref="I70" si="36">IFERROR(IF(I69="","",(I69-I68)/ABS(I68)),"—")</f>
        <v/>
      </c>
      <c r="J70" s="44" t="str">
        <f t="shared" ref="J70" si="37">IFERROR(IF(J69="","",(J69-J68)/ABS(J68)),"—")</f>
        <v/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0.11453425357142952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2" t="s">
        <v>86</v>
      </c>
      <c r="C72" s="382"/>
      <c r="D72" s="382"/>
      <c r="E72" s="382"/>
      <c r="F72" s="382"/>
      <c r="G72" s="382"/>
      <c r="H72" s="382"/>
      <c r="I72" s="382"/>
      <c r="J72" s="382"/>
      <c r="K72" s="382"/>
      <c r="L72" s="382"/>
      <c r="M72" s="382"/>
      <c r="N72" s="382"/>
      <c r="O72" s="382"/>
      <c r="P72" s="382"/>
      <c r="Q72" s="382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256047.53413629677</v>
      </c>
      <c r="E74" s="151">
        <f t="shared" si="42"/>
        <v>293824.87120256713</v>
      </c>
      <c r="F74" s="151">
        <f t="shared" si="42"/>
        <v>295705.41660908179</v>
      </c>
      <c r="G74" s="151">
        <f t="shared" si="42"/>
        <v>300509.6089412634</v>
      </c>
      <c r="H74" s="151">
        <f t="shared" si="42"/>
        <v>280556.30485941371</v>
      </c>
      <c r="I74" s="151">
        <f t="shared" si="42"/>
        <v>285057.51495660201</v>
      </c>
      <c r="J74" s="151">
        <f t="shared" si="42"/>
        <v>251628.87379322914</v>
      </c>
      <c r="K74" s="151">
        <f t="shared" si="42"/>
        <v>255551.53526909373</v>
      </c>
      <c r="L74" s="151">
        <f t="shared" si="42"/>
        <v>259552.64997447559</v>
      </c>
      <c r="M74" s="151">
        <f t="shared" si="42"/>
        <v>263633.78697396512</v>
      </c>
      <c r="N74" s="151">
        <f t="shared" si="42"/>
        <v>267796.5467134444</v>
      </c>
      <c r="O74" s="152">
        <f t="shared" si="42"/>
        <v>3289123.6717825718</v>
      </c>
      <c r="Q74" s="181">
        <f>SUM(C74:G74)</f>
        <v>1425346.4592423481</v>
      </c>
    </row>
    <row r="75" spans="2:17" ht="15" customHeight="1">
      <c r="B75" s="153" t="s">
        <v>89</v>
      </c>
      <c r="C75" s="154">
        <f>IF(OR(Consolidated!E7=0,Consolidated!E7=""),"",Consolidated!E7)</f>
        <v>295046.17000000004</v>
      </c>
      <c r="D75" s="154">
        <f>IF(OR(Consolidated!F7=0,Consolidated!F7=""),"",Consolidated!F7)</f>
        <v>237394.00000000003</v>
      </c>
      <c r="E75" s="154">
        <f>IF(OR(Consolidated!G7=0,Consolidated!G7=""),"",Consolidated!G7)</f>
        <v>274171.35000000009</v>
      </c>
      <c r="F75" s="154">
        <f>IF(OR(Consolidated!H7=0,Consolidated!H7=""),"",Consolidated!H7)</f>
        <v>300220.63000000012</v>
      </c>
      <c r="G75" s="154">
        <f>IF(OR(Consolidated!I7=0,Consolidated!I7=""),"",Consolidated!I7)</f>
        <v>280659.47000000009</v>
      </c>
      <c r="H75" s="154" t="str">
        <f>IF(OR(Consolidated!J7=0,Consolidated!J7=""),"",Consolidated!J7)</f>
        <v/>
      </c>
      <c r="I75" s="154" t="str">
        <f>IF(OR(Consolidated!K7=0,Consolidated!K7=""),"",Consolidated!K7)</f>
        <v/>
      </c>
      <c r="J75" s="154" t="str">
        <f>IF(OR(Consolidated!L7=0,Consolidated!L7=""),"",Consolidated!L7)</f>
        <v/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1387491.6200000006</v>
      </c>
      <c r="Q75" s="182">
        <f>SUM(C75:G75)</f>
        <v>1387491.6200000006</v>
      </c>
    </row>
    <row r="76" spans="2:17" ht="15" customHeight="1">
      <c r="B76" s="156" t="s">
        <v>90</v>
      </c>
      <c r="C76" s="44">
        <f t="shared" ref="C76:N76" si="43">IFERROR(IF(C75="","",(C75-C74)/ABS(C74)),"—")</f>
        <v>5.6532251580053615E-2</v>
      </c>
      <c r="D76" s="44">
        <f t="shared" si="43"/>
        <v>-7.2851840574130564E-2</v>
      </c>
      <c r="E76" s="44">
        <f t="shared" si="43"/>
        <v>-6.6888555492695553E-2</v>
      </c>
      <c r="F76" s="44">
        <f t="shared" si="43"/>
        <v>1.5269295512727715E-2</v>
      </c>
      <c r="G76" s="44">
        <f t="shared" si="43"/>
        <v>-6.605492254040754E-2</v>
      </c>
      <c r="H76" s="44" t="str">
        <f t="shared" si="43"/>
        <v/>
      </c>
      <c r="I76" s="44" t="str">
        <f t="shared" si="43"/>
        <v/>
      </c>
      <c r="J76" s="44" t="str">
        <f t="shared" si="43"/>
        <v/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-0.57815766190146434</v>
      </c>
      <c r="Q76" s="183">
        <f>IFERROR(IF(Q75=0,"",(Q75-Q74)/ABS(Q74)),"—")</f>
        <v>-2.6558342357316758E-2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1" t="s">
        <v>91</v>
      </c>
      <c r="C78" s="381"/>
      <c r="D78" s="381"/>
      <c r="E78" s="381"/>
      <c r="F78" s="381"/>
      <c r="G78" s="381"/>
      <c r="H78" s="381"/>
      <c r="I78" s="381"/>
      <c r="J78" s="381"/>
      <c r="K78" s="381"/>
      <c r="L78" s="381"/>
      <c r="M78" s="381"/>
      <c r="N78" s="381"/>
      <c r="O78" s="381"/>
      <c r="P78" s="381"/>
      <c r="Q78" s="381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-199589.29569184981</v>
      </c>
      <c r="D80" s="151">
        <f t="shared" ref="D80:O80" si="44">D38</f>
        <v>-137961.5079576892</v>
      </c>
      <c r="E80" s="151">
        <f t="shared" si="44"/>
        <v>-144874.59008546331</v>
      </c>
      <c r="F80" s="151">
        <f t="shared" si="44"/>
        <v>-195694.38698869682</v>
      </c>
      <c r="G80" s="151">
        <f t="shared" si="44"/>
        <v>-148684.89059652018</v>
      </c>
      <c r="H80" s="151">
        <f t="shared" si="44"/>
        <v>-137311.50726986583</v>
      </c>
      <c r="I80" s="151">
        <f t="shared" si="44"/>
        <v>-192483.4768498487</v>
      </c>
      <c r="J80" s="151">
        <f t="shared" si="44"/>
        <v>-120822.87156214062</v>
      </c>
      <c r="K80" s="151">
        <f t="shared" si="44"/>
        <v>-123058.78860338344</v>
      </c>
      <c r="L80" s="151">
        <f t="shared" si="44"/>
        <v>-172873.69942658659</v>
      </c>
      <c r="M80" s="151">
        <f t="shared" si="44"/>
        <v>-127665.67207516012</v>
      </c>
      <c r="N80" s="151">
        <f t="shared" si="44"/>
        <v>-130038.44512666333</v>
      </c>
      <c r="O80" s="152">
        <f t="shared" si="44"/>
        <v>-1831059.1322338677</v>
      </c>
      <c r="Q80" s="181">
        <f>SUM(C80:G80)</f>
        <v>-826804.67132021929</v>
      </c>
    </row>
    <row r="81" spans="2:17" ht="15" customHeight="1">
      <c r="B81" s="153" t="s">
        <v>89</v>
      </c>
      <c r="C81" s="154">
        <f>IF(OR(Consolidated!E20=0,Consolidated!E20=""),"",Consolidated!E20)</f>
        <v>-199415.55</v>
      </c>
      <c r="D81" s="154">
        <f>IF(OR(Consolidated!F20=0,Consolidated!F20=""),"",Consolidated!F20)</f>
        <v>-124090.19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-198046.43999999997</v>
      </c>
      <c r="G81" s="154">
        <f>IF(OR(Consolidated!I20=0,Consolidated!I20=""),"",Consolidated!I20)</f>
        <v>-128726.11000000002</v>
      </c>
      <c r="H81" s="154" t="str">
        <f>IF(OR(Consolidated!J20=0,Consolidated!J20=""),"",Consolidated!J20)</f>
        <v/>
      </c>
      <c r="I81" s="154" t="str">
        <f>IF(OR(Consolidated!K20=0,Consolidated!K20=""),"",Consolidated!K20)</f>
        <v/>
      </c>
      <c r="J81" s="154" t="str">
        <f>IF(OR(Consolidated!L20=0,Consolidated!L20=""),"",Consolidated!L20)</f>
        <v/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-788459.73</v>
      </c>
      <c r="Q81" s="182">
        <f>SUM(C81:G81)</f>
        <v>-788459.73</v>
      </c>
    </row>
    <row r="82" spans="2:17" ht="15" customHeight="1">
      <c r="B82" s="156" t="s">
        <v>90</v>
      </c>
      <c r="C82" s="44">
        <f t="shared" ref="C82:N82" si="45">IFERROR(IF(C81="","",(C81-C80)/ABS(C80)),"—")</f>
        <v>8.7051608277665705E-4</v>
      </c>
      <c r="D82" s="44">
        <f t="shared" si="45"/>
        <v>0.10054484155061086</v>
      </c>
      <c r="E82" s="44">
        <f t="shared" si="45"/>
        <v>4.6199613621097618E-2</v>
      </c>
      <c r="F82" s="44">
        <f t="shared" si="45"/>
        <v>-1.20190111095982E-2</v>
      </c>
      <c r="G82" s="44">
        <f t="shared" si="45"/>
        <v>0.13423543250727107</v>
      </c>
      <c r="H82" s="44" t="str">
        <f t="shared" si="45"/>
        <v/>
      </c>
      <c r="I82" s="44" t="str">
        <f t="shared" si="45"/>
        <v/>
      </c>
      <c r="J82" s="44" t="str">
        <f t="shared" si="45"/>
        <v/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0.56939690470941284</v>
      </c>
      <c r="Q82" s="183">
        <f>IFERROR(IF(Q81=0,"",(Q81-Q80)/ABS(Q80)),"—")</f>
        <v>4.6377267388912E-2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1" t="s">
        <v>92</v>
      </c>
      <c r="C84" s="381"/>
      <c r="D84" s="381"/>
      <c r="E84" s="381"/>
      <c r="F84" s="381"/>
      <c r="G84" s="381"/>
      <c r="H84" s="381"/>
      <c r="I84" s="381"/>
      <c r="J84" s="381"/>
      <c r="K84" s="381"/>
      <c r="L84" s="381"/>
      <c r="M84" s="381"/>
      <c r="N84" s="381"/>
      <c r="O84" s="381"/>
      <c r="P84" s="381"/>
      <c r="Q84" s="381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-64908.31</v>
      </c>
      <c r="D86" s="151">
        <f t="shared" si="46"/>
        <v>-65198.560419534093</v>
      </c>
      <c r="E86" s="151">
        <f t="shared" si="46"/>
        <v>-65490.108751554879</v>
      </c>
      <c r="F86" s="151">
        <f t="shared" si="46"/>
        <v>-65782.960799936234</v>
      </c>
      <c r="G86" s="151">
        <f t="shared" si="46"/>
        <v>-66077.12239450519</v>
      </c>
      <c r="H86" s="151">
        <f t="shared" si="46"/>
        <v>-66372.599391158015</v>
      </c>
      <c r="I86" s="151">
        <f t="shared" si="46"/>
        <v>-66669.397671976782</v>
      </c>
      <c r="J86" s="151">
        <f t="shared" si="46"/>
        <v>-66967.52314534648</v>
      </c>
      <c r="K86" s="151">
        <f t="shared" si="46"/>
        <v>-67266.981746072575</v>
      </c>
      <c r="L86" s="151">
        <f t="shared" si="46"/>
        <v>-67567.779435499237</v>
      </c>
      <c r="M86" s="151">
        <f t="shared" si="46"/>
        <v>-67869.922201627953</v>
      </c>
      <c r="N86" s="151">
        <f t="shared" si="46"/>
        <v>-68173.41605923677</v>
      </c>
      <c r="O86" s="152">
        <f t="shared" si="46"/>
        <v>-798344.68201644812</v>
      </c>
      <c r="Q86" s="181">
        <f>SUM(C86:G86)</f>
        <v>-327457.06236553041</v>
      </c>
    </row>
    <row r="87" spans="2:17" ht="15" customHeight="1">
      <c r="B87" s="153" t="s">
        <v>89</v>
      </c>
      <c r="C87" s="154">
        <f>IF(OR(Consolidated!E28=0,Consolidated!E28=""),"",Consolidated!E28)</f>
        <v>-64872.260000000009</v>
      </c>
      <c r="D87" s="154">
        <f>IF(OR(Consolidated!F28=0,Consolidated!F28=""),"",Consolidated!F28)</f>
        <v>-63769.759999999995</v>
      </c>
      <c r="E87" s="154">
        <f>IF(OR(Consolidated!G28=0,Consolidated!G28=""),"",Consolidated!G28)</f>
        <v>-66416.09</v>
      </c>
      <c r="F87" s="154">
        <f>IF(OR(Consolidated!H28=0,Consolidated!H28=""),"",Consolidated!H28)</f>
        <v>-64575.130000000019</v>
      </c>
      <c r="G87" s="154">
        <f>IF(OR(Consolidated!I28=0,Consolidated!I28=""),"",Consolidated!I28)</f>
        <v>-85976.890000000014</v>
      </c>
      <c r="H87" s="154" t="str">
        <f>IF(OR(Consolidated!J28=0,Consolidated!J28=""),"",Consolidated!J28)</f>
        <v/>
      </c>
      <c r="I87" s="154" t="str">
        <f>IF(OR(Consolidated!K28=0,Consolidated!K28=""),"",Consolidated!K28)</f>
        <v/>
      </c>
      <c r="J87" s="154" t="str">
        <f>IF(OR(Consolidated!L28=0,Consolidated!L28=""),"",Consolidated!L28)</f>
        <v/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-345610.13</v>
      </c>
      <c r="Q87" s="182">
        <f>SUM(C87:G87)</f>
        <v>-345610.13</v>
      </c>
    </row>
    <row r="88" spans="2:17" ht="15" customHeight="1">
      <c r="B88" s="156" t="s">
        <v>90</v>
      </c>
      <c r="C88" s="44">
        <f t="shared" ref="C88:N88" si="47">IFERROR(IF(C87="","",(C87-C86)/ABS(C86)),"—")</f>
        <v>5.5539883876176037E-4</v>
      </c>
      <c r="D88" s="44">
        <f t="shared" si="47"/>
        <v>2.1914600726460464E-2</v>
      </c>
      <c r="E88" s="44">
        <f t="shared" si="47"/>
        <v>-1.4139253485712572E-2</v>
      </c>
      <c r="F88" s="44">
        <f t="shared" si="47"/>
        <v>1.8360845806401981E-2</v>
      </c>
      <c r="G88" s="44">
        <f t="shared" si="47"/>
        <v>-0.30115971889159687</v>
      </c>
      <c r="H88" s="44" t="str">
        <f t="shared" si="47"/>
        <v/>
      </c>
      <c r="I88" s="44" t="str">
        <f t="shared" si="47"/>
        <v/>
      </c>
      <c r="J88" s="44" t="str">
        <f t="shared" si="47"/>
        <v/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0.56709158614664701</v>
      </c>
      <c r="Q88" s="183">
        <f>IFERROR(IF(Q87=0,"",(Q87-Q86)/ABS(Q86)),"—")</f>
        <v>-5.543648227750201E-2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2" t="s">
        <v>93</v>
      </c>
      <c r="C90" s="382"/>
      <c r="D90" s="382"/>
      <c r="E90" s="382"/>
      <c r="F90" s="382"/>
      <c r="G90" s="382"/>
      <c r="H90" s="382"/>
      <c r="I90" s="382"/>
      <c r="J90" s="382"/>
      <c r="K90" s="382"/>
      <c r="L90" s="382"/>
      <c r="M90" s="382"/>
      <c r="N90" s="382"/>
      <c r="O90" s="382"/>
      <c r="P90" s="382"/>
      <c r="Q90" s="382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14761.422661289253</v>
      </c>
      <c r="D92" s="151">
        <f t="shared" si="48"/>
        <v>52887.465759073479</v>
      </c>
      <c r="E92" s="151">
        <f t="shared" si="48"/>
        <v>83460.172365548933</v>
      </c>
      <c r="F92" s="151">
        <f t="shared" si="48"/>
        <v>34228.068820448738</v>
      </c>
      <c r="G92" s="151">
        <f t="shared" si="48"/>
        <v>85747.595950238028</v>
      </c>
      <c r="H92" s="151">
        <f t="shared" si="48"/>
        <v>76872.198198389859</v>
      </c>
      <c r="I92" s="151">
        <f t="shared" si="48"/>
        <v>25904.640434776535</v>
      </c>
      <c r="J92" s="151">
        <f t="shared" si="48"/>
        <v>63838.479085742045</v>
      </c>
      <c r="K92" s="151">
        <f t="shared" si="48"/>
        <v>65225.764919637717</v>
      </c>
      <c r="L92" s="151">
        <f t="shared" si="48"/>
        <v>19111.171112389755</v>
      </c>
      <c r="M92" s="151">
        <f t="shared" si="48"/>
        <v>68098.19269717703</v>
      </c>
      <c r="N92" s="151">
        <f t="shared" si="48"/>
        <v>69584.685527544323</v>
      </c>
      <c r="O92" s="152">
        <f t="shared" si="48"/>
        <v>659719.8575322557</v>
      </c>
      <c r="Q92" s="181">
        <f>SUM(C92:G92)</f>
        <v>271084.72555659839</v>
      </c>
    </row>
    <row r="93" spans="2:17" ht="15" customHeight="1">
      <c r="B93" s="153" t="s">
        <v>89</v>
      </c>
      <c r="C93" s="154">
        <f>IF(OR(Consolidated!E34=0,Consolidated!E34=""),"",Consolidated!E34)</f>
        <v>30758.360000000048</v>
      </c>
      <c r="D93" s="154">
        <f>IF(OR(Consolidated!F34=0,Consolidated!F34=""),"",Consolidated!F34)</f>
        <v>49534.050000000047</v>
      </c>
      <c r="E93" s="154">
        <f>IF(OR(Consolidated!G34=0,Consolidated!G34=""),"",Consolidated!G34)</f>
        <v>69573.820000000109</v>
      </c>
      <c r="F93" s="154">
        <f>IF(OR(Consolidated!H34=0,Consolidated!H34=""),"",Consolidated!H34)</f>
        <v>37599.060000000129</v>
      </c>
      <c r="G93" s="154">
        <f>IF(OR(Consolidated!I34=0,Consolidated!I34=""),"",Consolidated!I34)</f>
        <v>65956.47000000003</v>
      </c>
      <c r="H93" s="154" t="str">
        <f>IF(OR(Consolidated!J34=0,Consolidated!J34=""),"",Consolidated!J34)</f>
        <v/>
      </c>
      <c r="I93" s="154" t="str">
        <f>IF(OR(Consolidated!K34=0,Consolidated!K34=""),"",Consolidated!K34)</f>
        <v/>
      </c>
      <c r="J93" s="154" t="str">
        <f>IF(OR(Consolidated!L34=0,Consolidated!L34=""),"",Consolidated!L34)</f>
        <v/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253421.76000000036</v>
      </c>
      <c r="Q93" s="182">
        <f>SUM(C93:G93)</f>
        <v>253421.76000000036</v>
      </c>
    </row>
    <row r="94" spans="2:17" ht="15" customHeight="1">
      <c r="B94" s="156" t="s">
        <v>90</v>
      </c>
      <c r="C94" s="44">
        <f t="shared" ref="C94:N94" si="49">IFERROR(IF(C93="","",(C93-C92)/ABS(C92)),"—")</f>
        <v>1.0836988890414736</v>
      </c>
      <c r="D94" s="44">
        <f t="shared" si="49"/>
        <v>-6.3406625954621654E-2</v>
      </c>
      <c r="E94" s="44">
        <f t="shared" si="49"/>
        <v>-0.16638298210945099</v>
      </c>
      <c r="F94" s="44">
        <f t="shared" si="49"/>
        <v>9.8486163424372719E-2</v>
      </c>
      <c r="G94" s="44">
        <f t="shared" si="49"/>
        <v>-0.23080677342515116</v>
      </c>
      <c r="H94" s="44" t="str">
        <f t="shared" si="49"/>
        <v/>
      </c>
      <c r="I94" s="44" t="str">
        <f t="shared" si="49"/>
        <v/>
      </c>
      <c r="J94" s="44" t="str">
        <f t="shared" si="49"/>
        <v/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-0.61586458690519286</v>
      </c>
      <c r="Q94" s="183">
        <f>IFERROR(IF(Q93=0,"",(Q93-Q92)/ABS(Q92)),"—")</f>
        <v>-6.5156624078807693E-2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1" t="s">
        <v>94</v>
      </c>
      <c r="C96" s="381"/>
      <c r="D96" s="381"/>
      <c r="E96" s="381"/>
      <c r="F96" s="381"/>
      <c r="G96" s="381"/>
      <c r="H96" s="381"/>
      <c r="I96" s="381"/>
      <c r="J96" s="381"/>
      <c r="K96" s="381"/>
      <c r="L96" s="381"/>
      <c r="M96" s="381"/>
      <c r="N96" s="381"/>
      <c r="O96" s="381"/>
      <c r="P96" s="381"/>
      <c r="Q96" s="381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-23332.250000000004</v>
      </c>
      <c r="E99" s="154">
        <f>IF(OR(Consolidated!G35=0,Consolidated!G35=""),"",Consolidated!G35)</f>
        <v>-25476.399999999987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-19711.419999999998</v>
      </c>
      <c r="H99" s="154" t="str">
        <f>IF(OR(Consolidated!J35=0,Consolidated!J35=""),"",Consolidated!J35)</f>
        <v/>
      </c>
      <c r="I99" s="154" t="str">
        <f>IF(OR(Consolidated!K35=0,Consolidated!K35=""),"",Consolidated!K35)</f>
        <v/>
      </c>
      <c r="J99" s="154" t="str">
        <f>IF(OR(Consolidated!L35=0,Consolidated!L35=""),"",Consolidated!L35)</f>
        <v/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-113133.33999999998</v>
      </c>
      <c r="Q99" s="182">
        <f>SUM(C99:G99)</f>
        <v>-113133.33999999998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5.4419913552860239E-3</v>
      </c>
      <c r="E100" s="44">
        <f t="shared" si="51"/>
        <v>-8.1119876075874314E-2</v>
      </c>
      <c r="F100" s="44">
        <f t="shared" si="51"/>
        <v>0.10724156350491866</v>
      </c>
      <c r="G100" s="44">
        <f t="shared" si="51"/>
        <v>0.17095463698371982</v>
      </c>
      <c r="H100" s="44" t="str">
        <f t="shared" si="51"/>
        <v/>
      </c>
      <c r="I100" s="44" t="str">
        <f t="shared" si="51"/>
        <v/>
      </c>
      <c r="J100" s="44" t="str">
        <f t="shared" si="51"/>
        <v/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0.60616738733891162</v>
      </c>
      <c r="Q100" s="183">
        <f>IFERROR(IF(Q99=0,"",(Q99-Q98)/ABS(Q98)),"—")</f>
        <v>3.9830841786356964E-2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2" t="s">
        <v>95</v>
      </c>
      <c r="C102" s="382"/>
      <c r="D102" s="382"/>
      <c r="E102" s="382"/>
      <c r="F102" s="382"/>
      <c r="G102" s="382"/>
      <c r="H102" s="382"/>
      <c r="I102" s="382"/>
      <c r="J102" s="382"/>
      <c r="K102" s="382"/>
      <c r="L102" s="382"/>
      <c r="M102" s="382"/>
      <c r="N102" s="382"/>
      <c r="O102" s="382"/>
      <c r="P102" s="382"/>
      <c r="Q102" s="382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-8594.0573387107434</v>
      </c>
      <c r="D104" s="151">
        <f t="shared" si="52"/>
        <v>29427.547084450463</v>
      </c>
      <c r="E104" s="151">
        <f t="shared" si="52"/>
        <v>59895.347997994686</v>
      </c>
      <c r="F104" s="151">
        <f t="shared" si="52"/>
        <v>10557.869653289792</v>
      </c>
      <c r="G104" s="151">
        <f t="shared" si="52"/>
        <v>61971.55077909711</v>
      </c>
      <c r="H104" s="151">
        <f t="shared" si="52"/>
        <v>52989.833711805579</v>
      </c>
      <c r="I104" s="151">
        <f t="shared" si="52"/>
        <v>1915.4812047811756</v>
      </c>
      <c r="J104" s="151">
        <f t="shared" si="52"/>
        <v>39742.047558397142</v>
      </c>
      <c r="K104" s="151">
        <f t="shared" si="52"/>
        <v>41021.581405527388</v>
      </c>
      <c r="L104" s="151">
        <f t="shared" si="52"/>
        <v>-5201.2462229285375</v>
      </c>
      <c r="M104" s="151">
        <f t="shared" si="52"/>
        <v>43677.057551589707</v>
      </c>
      <c r="N104" s="151">
        <f t="shared" si="52"/>
        <v>45054.346418373512</v>
      </c>
      <c r="O104" s="152">
        <f t="shared" si="52"/>
        <v>372457.35980366729</v>
      </c>
      <c r="Q104" s="181">
        <f>SUM(C104:G104)</f>
        <v>153258.25817612131</v>
      </c>
    </row>
    <row r="105" spans="2:17" ht="15" customHeight="1">
      <c r="B105" s="153" t="s">
        <v>89</v>
      </c>
      <c r="C105" s="154">
        <f>IF(OR(Consolidated!E46=0,Consolidated!E46=""),"",Consolidated!E46)</f>
        <v>7276.8600000000515</v>
      </c>
      <c r="D105" s="154">
        <f>IF(OR(Consolidated!F46=0,Consolidated!F46=""),"",Consolidated!F46)</f>
        <v>26201.800000000043</v>
      </c>
      <c r="E105" s="154">
        <f>IF(OR(Consolidated!G46=0,Consolidated!G46=""),"",Consolidated!G46)</f>
        <v>44097.420000000129</v>
      </c>
      <c r="F105" s="154">
        <f>IF(OR(Consolidated!H46=0,Consolidated!H46=""),"",Consolidated!H46)</f>
        <v>16467.290000000132</v>
      </c>
      <c r="G105" s="154">
        <f>IF(OR(Consolidated!I46=0,Consolidated!I46=""),"",Consolidated!I46)</f>
        <v>46245.050000000025</v>
      </c>
      <c r="H105" s="154" t="str">
        <f>IF(OR(Consolidated!J46=0,Consolidated!J46=""),"",Consolidated!J46)</f>
        <v/>
      </c>
      <c r="I105" s="154" t="str">
        <f>IF(OR(Consolidated!K46=0,Consolidated!K46=""),"",Consolidated!K46)</f>
        <v/>
      </c>
      <c r="J105" s="154" t="str">
        <f>IF(OR(Consolidated!L46=0,Consolidated!L46=""),"",Consolidated!L46)</f>
        <v/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140288.42000000036</v>
      </c>
      <c r="Q105" s="182">
        <f>SUM(C105:G105)</f>
        <v>140288.42000000036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1.8467316092042394</v>
      </c>
      <c r="D106" s="44">
        <f t="shared" si="53"/>
        <v>-0.10961658051869731</v>
      </c>
      <c r="E106" s="44">
        <f t="shared" si="53"/>
        <v>-0.26375884815834905</v>
      </c>
      <c r="F106" s="44">
        <f t="shared" si="53"/>
        <v>0.55971711536228208</v>
      </c>
      <c r="G106" s="44">
        <f t="shared" si="53"/>
        <v>-0.25376968272353778</v>
      </c>
      <c r="H106" s="44" t="str">
        <f t="shared" si="53"/>
        <v/>
      </c>
      <c r="I106" s="44" t="str">
        <f t="shared" si="53"/>
        <v/>
      </c>
      <c r="J106" s="44" t="str">
        <f t="shared" si="53"/>
        <v/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-0.62334367597421003</v>
      </c>
      <c r="Q106" s="183">
        <f>IFERROR(IF(Q105=0,"",(Q105-Q104)/ABS(Q104)),"—")</f>
        <v>-8.4627336435053754E-2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2" t="s">
        <v>96</v>
      </c>
      <c r="C108" s="382"/>
      <c r="D108" s="382"/>
      <c r="E108" s="382"/>
      <c r="F108" s="382"/>
      <c r="G108" s="382"/>
      <c r="H108" s="382"/>
      <c r="I108" s="382"/>
      <c r="J108" s="382"/>
      <c r="K108" s="382"/>
      <c r="L108" s="382"/>
      <c r="M108" s="382"/>
      <c r="N108" s="382"/>
      <c r="O108" s="382"/>
      <c r="P108" s="382"/>
      <c r="Q108" s="382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-9711.0934521232994</v>
      </c>
      <c r="D110" s="151">
        <f t="shared" si="54"/>
        <v>28403.356947905275</v>
      </c>
      <c r="E110" s="151">
        <f t="shared" si="54"/>
        <v>58720.048513184418</v>
      </c>
      <c r="F110" s="151">
        <f t="shared" si="54"/>
        <v>9375.047986853464</v>
      </c>
      <c r="G110" s="151">
        <f t="shared" si="54"/>
        <v>60769.512343332055</v>
      </c>
      <c r="H110" s="151">
        <f t="shared" si="54"/>
        <v>51867.608492367923</v>
      </c>
      <c r="I110" s="151">
        <f t="shared" si="54"/>
        <v>775.2511449547676</v>
      </c>
      <c r="J110" s="151">
        <f t="shared" si="54"/>
        <v>38735.532063224222</v>
      </c>
      <c r="K110" s="151">
        <f t="shared" si="54"/>
        <v>39999.37526445101</v>
      </c>
      <c r="L110" s="151">
        <f t="shared" si="54"/>
        <v>-6239.4568228264397</v>
      </c>
      <c r="M110" s="151">
        <f t="shared" si="54"/>
        <v>42622.522403693845</v>
      </c>
      <c r="N110" s="151">
        <f t="shared" si="54"/>
        <v>43983.160231519738</v>
      </c>
      <c r="O110" s="152">
        <f t="shared" si="54"/>
        <v>359300.86511653697</v>
      </c>
      <c r="Q110" s="181">
        <f>SUM(C110:G110)</f>
        <v>147556.87233915192</v>
      </c>
    </row>
    <row r="111" spans="2:17" ht="15" customHeight="1">
      <c r="B111" s="153" t="s">
        <v>89</v>
      </c>
      <c r="C111" s="154">
        <f>IF(OR(Consolidated!E49=0,Consolidated!E49=""),"",Consolidated!E49)</f>
        <v>6022.6300000000538</v>
      </c>
      <c r="D111" s="154">
        <f>IF(OR(Consolidated!F49=0,Consolidated!F49=""),"",Consolidated!F49)</f>
        <v>25230.490000000045</v>
      </c>
      <c r="E111" s="154">
        <f>IF(OR(Consolidated!G49=0,Consolidated!G49=""),"",Consolidated!G49)</f>
        <v>43760.270000000128</v>
      </c>
      <c r="F111" s="154">
        <f>IF(OR(Consolidated!H49=0,Consolidated!H49=""),"",Consolidated!H49)</f>
        <v>15718.780000000135</v>
      </c>
      <c r="G111" s="154">
        <f>IF(OR(Consolidated!I49=0,Consolidated!I49=""),"",Consolidated!I49)</f>
        <v>47049.180000000022</v>
      </c>
      <c r="H111" s="154" t="str">
        <f>IF(OR(Consolidated!J49=0,Consolidated!J49=""),"",Consolidated!J49)</f>
        <v/>
      </c>
      <c r="I111" s="154" t="str">
        <f>IF(OR(Consolidated!K49=0,Consolidated!K49=""),"",Consolidated!K49)</f>
        <v/>
      </c>
      <c r="J111" s="154" t="str">
        <f>IF(OR(Consolidated!L49=0,Consolidated!L49=""),"",Consolidated!L49)</f>
        <v/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137781.35000000038</v>
      </c>
      <c r="Q111" s="182">
        <f>SUM(C111:G111)</f>
        <v>137781.35000000038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1.6201804183733013</v>
      </c>
      <c r="D112" s="44">
        <f t="shared" si="55"/>
        <v>-0.11170746309052831</v>
      </c>
      <c r="E112" s="44">
        <f t="shared" si="55"/>
        <v>-0.25476440997533184</v>
      </c>
      <c r="F112" s="44">
        <f t="shared" si="55"/>
        <v>0.67666128451208174</v>
      </c>
      <c r="G112" s="44">
        <f t="shared" si="55"/>
        <v>-0.22577657470436321</v>
      </c>
      <c r="H112" s="44" t="str">
        <f t="shared" si="55"/>
        <v/>
      </c>
      <c r="I112" s="44" t="str">
        <f t="shared" si="55"/>
        <v/>
      </c>
      <c r="J112" s="44" t="str">
        <f t="shared" si="55"/>
        <v/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-0.61652931184757409</v>
      </c>
      <c r="Q112" s="183">
        <f>IFERROR(IF(Q111=0,"",(Q111-Q110)/ABS(Q110)),"—")</f>
        <v>-6.6249183682092386E-2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1" t="s">
        <v>97</v>
      </c>
      <c r="C114" s="381"/>
      <c r="D114" s="381"/>
      <c r="E114" s="381"/>
      <c r="F114" s="381"/>
      <c r="G114" s="381"/>
      <c r="H114" s="381"/>
      <c r="I114" s="381"/>
      <c r="J114" s="381"/>
      <c r="K114" s="381"/>
      <c r="L114" s="381"/>
      <c r="M114" s="381"/>
      <c r="N114" s="381"/>
      <c r="O114" s="381"/>
      <c r="P114" s="381"/>
      <c r="Q114" s="381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-10056.854927006381</v>
      </c>
      <c r="E116" s="151">
        <f t="shared" si="56"/>
        <v>-11540.646597508725</v>
      </c>
      <c r="F116" s="151">
        <f t="shared" si="56"/>
        <v>-11614.509337100269</v>
      </c>
      <c r="G116" s="151">
        <f t="shared" si="56"/>
        <v>-11803.205023974053</v>
      </c>
      <c r="H116" s="151">
        <f t="shared" si="56"/>
        <v>-11019.493182567334</v>
      </c>
      <c r="I116" s="151">
        <f t="shared" si="56"/>
        <v>-11196.288546350461</v>
      </c>
      <c r="J116" s="151">
        <f t="shared" si="56"/>
        <v>-9883.3018943952848</v>
      </c>
      <c r="K116" s="151">
        <f t="shared" si="56"/>
        <v>-10037.37343241497</v>
      </c>
      <c r="L116" s="151">
        <f t="shared" si="56"/>
        <v>-10194.526401195048</v>
      </c>
      <c r="M116" s="151">
        <f t="shared" si="56"/>
        <v>-10354.822429350726</v>
      </c>
      <c r="N116" s="151">
        <f t="shared" si="56"/>
        <v>-10518.324378069519</v>
      </c>
      <c r="O116" s="152">
        <f t="shared" si="56"/>
        <v>-129187.88581846678</v>
      </c>
      <c r="Q116" s="181">
        <f>SUM(C116:G116)</f>
        <v>-55983.755554123418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 t="str">
        <f>IF(OR(Consolidated!J52=0,Consolidated!J52=""),"",Consolidated!J52)</f>
        <v/>
      </c>
      <c r="I117" s="154" t="str">
        <f>IF(OR(Consolidated!K52=0,Consolidated!K52=""),"",Consolidated!K52)</f>
        <v/>
      </c>
      <c r="J117" s="154" t="str">
        <f>IF(OR(Consolidated!L52=0,Consolidated!L52=""),"",Consolidated!L52)</f>
        <v/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-48165.31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2.1447552795771239E-2</v>
      </c>
      <c r="E118" s="44">
        <f t="shared" si="57"/>
        <v>0.24271314209668202</v>
      </c>
      <c r="F118" s="44">
        <f t="shared" si="57"/>
        <v>0.13229481267814691</v>
      </c>
      <c r="G118" s="44">
        <f t="shared" si="57"/>
        <v>0.2146175567423256</v>
      </c>
      <c r="H118" s="44" t="str">
        <f t="shared" si="57"/>
        <v/>
      </c>
      <c r="I118" s="44" t="str">
        <f t="shared" si="57"/>
        <v/>
      </c>
      <c r="J118" s="44" t="str">
        <f t="shared" si="57"/>
        <v/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0.62716852516898303</v>
      </c>
      <c r="Q118" s="183">
        <f>IFERROR(IF(Q117=0,"",(Q117-Q116)/ABS(Q116)),"—")</f>
        <v>0.1396556103951401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2" t="s">
        <v>98</v>
      </c>
      <c r="C120" s="382"/>
      <c r="D120" s="382"/>
      <c r="E120" s="382"/>
      <c r="F120" s="382"/>
      <c r="G120" s="382"/>
      <c r="H120" s="382"/>
      <c r="I120" s="382"/>
      <c r="J120" s="382"/>
      <c r="K120" s="382"/>
      <c r="L120" s="382"/>
      <c r="M120" s="382"/>
      <c r="N120" s="382"/>
      <c r="O120" s="382"/>
      <c r="P120" s="382"/>
      <c r="Q120" s="382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-20679.633120657287</v>
      </c>
      <c r="D122" s="151">
        <f t="shared" si="58"/>
        <v>18346.502020898894</v>
      </c>
      <c r="E122" s="151">
        <f t="shared" si="58"/>
        <v>47179.401915675691</v>
      </c>
      <c r="F122" s="151">
        <f t="shared" si="58"/>
        <v>-2239.4613502468055</v>
      </c>
      <c r="G122" s="151">
        <f t="shared" si="58"/>
        <v>48966.307319358006</v>
      </c>
      <c r="H122" s="151">
        <f t="shared" si="58"/>
        <v>40848.115309800589</v>
      </c>
      <c r="I122" s="151">
        <f t="shared" si="58"/>
        <v>-10421.037401395693</v>
      </c>
      <c r="J122" s="151">
        <f t="shared" si="58"/>
        <v>28852.230168828937</v>
      </c>
      <c r="K122" s="151">
        <f t="shared" si="58"/>
        <v>29962.00183203604</v>
      </c>
      <c r="L122" s="151">
        <f t="shared" si="58"/>
        <v>-16433.983224021489</v>
      </c>
      <c r="M122" s="151">
        <f t="shared" si="58"/>
        <v>32267.699974343119</v>
      </c>
      <c r="N122" s="151">
        <f t="shared" si="58"/>
        <v>33464.835853450219</v>
      </c>
      <c r="O122" s="152">
        <f>O53</f>
        <v>230112.97929807025</v>
      </c>
      <c r="Q122" s="181">
        <f>SUM(C122:G122)</f>
        <v>91573.116785028498</v>
      </c>
    </row>
    <row r="123" spans="2:17" ht="15" customHeight="1">
      <c r="B123" s="153" t="s">
        <v>89</v>
      </c>
      <c r="C123" s="154">
        <f>IF(OR(Consolidated!E53=0,Consolidated!E53=""),"",Consolidated!E53)</f>
        <v>-4213.9399999999459</v>
      </c>
      <c r="D123" s="154">
        <f>IF(OR(Consolidated!F53=0,Consolidated!F53=""),"",Consolidated!F53)</f>
        <v>15111.240000000045</v>
      </c>
      <c r="E123" s="154">
        <f>IF(OR(Consolidated!G53=0,Consolidated!G53=""),"",Consolidated!G53)</f>
        <v>35020.690000000126</v>
      </c>
      <c r="F123" s="154">
        <f>IF(OR(Consolidated!H53=0,Consolidated!H53=""),"",Consolidated!H53)</f>
        <v>5081.9200000001347</v>
      </c>
      <c r="G123" s="154">
        <f>IF(OR(Consolidated!I53=0,Consolidated!I53=""),"",Consolidated!I53)</f>
        <v>37779.150000000023</v>
      </c>
      <c r="H123" s="154" t="str">
        <f>IF(OR(Consolidated!J53=0,Consolidated!J53=""),"",Consolidated!J53)</f>
        <v/>
      </c>
      <c r="I123" s="154" t="str">
        <f>IF(OR(Consolidated!K53=0,Consolidated!K53=""),"",Consolidated!K53)</f>
        <v/>
      </c>
      <c r="J123" s="154" t="str">
        <f>IF(OR(Consolidated!L53=0,Consolidated!L53=""),"",Consolidated!L53)</f>
        <v/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88779.060000000376</v>
      </c>
      <c r="Q123" s="182">
        <f>SUM(C123:G123)</f>
        <v>88779.060000000376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0.7962275261164784</v>
      </c>
      <c r="D124" s="44">
        <f t="shared" si="59"/>
        <v>-0.17634217232328495</v>
      </c>
      <c r="E124" s="44">
        <f t="shared" si="59"/>
        <v>-0.25771229439082283</v>
      </c>
      <c r="F124" s="44">
        <f t="shared" si="59"/>
        <v>3.2692599715731054</v>
      </c>
      <c r="G124" s="44">
        <f t="shared" si="59"/>
        <v>-0.22846642787244298</v>
      </c>
      <c r="H124" s="44" t="str">
        <f t="shared" si="59"/>
        <v/>
      </c>
      <c r="I124" s="44" t="str">
        <f t="shared" si="59"/>
        <v/>
      </c>
      <c r="J124" s="44" t="str">
        <f t="shared" si="59"/>
        <v/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-0.61419360059215533</v>
      </c>
      <c r="Q124" s="183">
        <f>IFERROR(IF(Q123=0,"",(Q123-Q122)/ABS(Q122)),"—")</f>
        <v>-3.0511758069644835E-2</v>
      </c>
    </row>
    <row r="125" spans="2:17" ht="4.5" customHeight="1">
      <c r="Q125" s="176"/>
    </row>
    <row r="127" spans="2:17">
      <c r="B127" s="382" t="s">
        <v>28</v>
      </c>
      <c r="C127" s="382"/>
      <c r="D127" s="382"/>
      <c r="E127" s="382"/>
      <c r="F127" s="382"/>
      <c r="G127" s="382"/>
      <c r="H127" s="382"/>
      <c r="I127" s="382"/>
      <c r="J127" s="382"/>
      <c r="K127" s="382"/>
      <c r="L127" s="382"/>
      <c r="M127" s="382"/>
      <c r="N127" s="382"/>
      <c r="O127" s="382"/>
      <c r="P127" s="382"/>
      <c r="Q127" s="382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347025.9220208989</v>
      </c>
      <c r="E129" s="151">
        <f t="shared" ref="E129:N129" si="60">D129+E53</f>
        <v>394205.32393657457</v>
      </c>
      <c r="F129" s="151">
        <f t="shared" si="60"/>
        <v>391965.86258632777</v>
      </c>
      <c r="G129" s="151">
        <f t="shared" si="60"/>
        <v>440932.16990568576</v>
      </c>
      <c r="H129" s="151">
        <f>G129+H53-50000</f>
        <v>431780.28521548636</v>
      </c>
      <c r="I129" s="151">
        <f>H129+I53-50000</f>
        <v>371359.24781409069</v>
      </c>
      <c r="J129" s="151">
        <f>I129+J53-50000</f>
        <v>350211.4779829196</v>
      </c>
      <c r="K129" s="151">
        <f t="shared" si="60"/>
        <v>380173.47981495562</v>
      </c>
      <c r="L129" s="151">
        <f t="shared" si="60"/>
        <v>363739.49659093411</v>
      </c>
      <c r="M129" s="151">
        <f t="shared" si="60"/>
        <v>396007.19656527723</v>
      </c>
      <c r="N129" s="151">
        <f t="shared" si="60"/>
        <v>429472.03241872747</v>
      </c>
      <c r="O129" s="152">
        <f>N129</f>
        <v>429472.03241872747</v>
      </c>
      <c r="Q129" s="181">
        <f>G129</f>
        <v>440932.16990568576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400289.01</v>
      </c>
      <c r="I130" s="154" t="str">
        <f>IF(OR(Caixa!L6=0,Caixa!L6=""),"",Caixa!L6)</f>
        <v/>
      </c>
      <c r="J130" s="154" t="str">
        <f>IF(OR(Caixa!M6=0,Caixa!M6=""),"",Caixa!M6)</f>
        <v/>
      </c>
      <c r="K130" s="154" t="str">
        <f>IF(OR(Caixa!N6=0,Caixa!N6=""),"",Caixa!N6)</f>
        <v/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-5.8710346196189755E-2</v>
      </c>
      <c r="E131" s="44">
        <f t="shared" si="61"/>
        <v>-8.8897160461011135E-2</v>
      </c>
      <c r="F131" s="44">
        <f t="shared" si="61"/>
        <v>-8.4596404308104223E-2</v>
      </c>
      <c r="G131" s="44">
        <f t="shared" si="61"/>
        <v>-4.0134721649978361E-2</v>
      </c>
      <c r="H131" s="44">
        <f t="shared" si="61"/>
        <v>-7.293356434689964E-2</v>
      </c>
      <c r="I131" s="44" t="str">
        <f t="shared" si="61"/>
        <v/>
      </c>
      <c r="J131" s="44" t="str">
        <f t="shared" si="61"/>
        <v/>
      </c>
      <c r="K131" s="44" t="str">
        <f t="shared" si="61"/>
        <v/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-1.4521440158987684E-2</v>
      </c>
      <c r="Q131" s="183">
        <f>IFERROR(IF(Q130=0,"",(Q130-Q129)/ABS(Q129)),"—")</f>
        <v>-4.0134721649978361E-2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256047.53413629677</v>
      </c>
      <c r="E136" s="47">
        <f t="shared" si="62"/>
        <v>293824.87120256713</v>
      </c>
      <c r="F136" s="47">
        <f t="shared" si="62"/>
        <v>295705.41660908179</v>
      </c>
      <c r="G136" s="47">
        <f t="shared" si="62"/>
        <v>300509.6089412634</v>
      </c>
      <c r="H136" s="47">
        <f t="shared" si="62"/>
        <v>280556.30485941371</v>
      </c>
      <c r="I136" s="47">
        <f t="shared" si="62"/>
        <v>285057.51495660201</v>
      </c>
      <c r="J136" s="47">
        <f t="shared" si="62"/>
        <v>251628.87379322914</v>
      </c>
      <c r="K136" s="47">
        <f t="shared" si="62"/>
        <v>255551.53526909373</v>
      </c>
      <c r="L136" s="47">
        <f t="shared" si="62"/>
        <v>259552.64997447559</v>
      </c>
      <c r="M136" s="47">
        <f t="shared" si="62"/>
        <v>263633.78697396512</v>
      </c>
      <c r="N136" s="47">
        <f t="shared" si="62"/>
        <v>267796.5467134444</v>
      </c>
    </row>
    <row r="137" spans="2:17">
      <c r="B137" t="s">
        <v>541</v>
      </c>
      <c r="C137" s="3">
        <f>IF(OR(Consolidated!E7=0,Consolidated!E7=""),NA(),Consolidated!E7)</f>
        <v>295046.17000000004</v>
      </c>
      <c r="D137" s="3">
        <f>IF(OR(Consolidated!F7=0,Consolidated!F7=""),NA(),Consolidated!F7)</f>
        <v>237394.00000000003</v>
      </c>
      <c r="E137" s="3">
        <f>IF(OR(Consolidated!G7=0,Consolidated!G7=""),NA(),Consolidated!G7)</f>
        <v>274171.35000000009</v>
      </c>
      <c r="F137" s="3">
        <f>IF(OR(Consolidated!H7=0,Consolidated!H7=""),NA(),Consolidated!H7)</f>
        <v>300220.63000000012</v>
      </c>
      <c r="G137">
        <f>IF(OR(Consolidated!I7=0,Consolidated!I7=""),NA(),Consolidated!I7)</f>
        <v>280659.47000000009</v>
      </c>
      <c r="H137" t="e">
        <f>IF(OR(Consolidated!J7=0,Consolidated!J7=""),NA(),Consolidated!J7)</f>
        <v>#N/A</v>
      </c>
      <c r="I137" t="e">
        <f>IF(OR(Consolidated!K7=0,Consolidated!K7=""),NA(),Consolidated!K7)</f>
        <v>#N/A</v>
      </c>
      <c r="J137" t="e">
        <f>IF(OR(Consolidated!L7=0,Consolidated!L7=""),NA(),Consolidated!L7)</f>
        <v>#N/A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-199589.29569184981</v>
      </c>
      <c r="D138">
        <f t="shared" si="63"/>
        <v>-137961.5079576892</v>
      </c>
      <c r="E138">
        <f t="shared" si="63"/>
        <v>-144874.59008546331</v>
      </c>
      <c r="F138">
        <f t="shared" si="63"/>
        <v>-195694.38698869682</v>
      </c>
      <c r="G138">
        <f t="shared" si="63"/>
        <v>-148684.89059652018</v>
      </c>
      <c r="H138">
        <f t="shared" si="63"/>
        <v>-137311.50726986583</v>
      </c>
      <c r="I138">
        <f t="shared" si="63"/>
        <v>-192483.4768498487</v>
      </c>
      <c r="J138">
        <f t="shared" si="63"/>
        <v>-120822.87156214062</v>
      </c>
      <c r="K138">
        <f t="shared" si="63"/>
        <v>-123058.78860338344</v>
      </c>
      <c r="L138">
        <f t="shared" si="63"/>
        <v>-172873.69942658659</v>
      </c>
      <c r="M138">
        <f t="shared" si="63"/>
        <v>-127665.67207516012</v>
      </c>
      <c r="N138">
        <f t="shared" si="63"/>
        <v>-130038.44512666333</v>
      </c>
    </row>
    <row r="139" spans="2:17">
      <c r="B139" t="s">
        <v>542</v>
      </c>
      <c r="C139" s="3">
        <f>IF(OR(Consolidated!E20=0,Consolidated!E20=""),NA(),Consolidated!E20)</f>
        <v>-199415.55</v>
      </c>
      <c r="D139" s="3">
        <f>IF(OR(Consolidated!F20=0,Consolidated!F20=""),NA(),Consolidated!F20)</f>
        <v>-124090.19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-198046.43999999997</v>
      </c>
      <c r="G139">
        <f>IF(OR(Consolidated!I20=0,Consolidated!I20=""),NA(),Consolidated!I20)</f>
        <v>-128726.11000000002</v>
      </c>
      <c r="H139" t="e">
        <f>IF(OR(Consolidated!J20=0,Consolidated!J20=""),NA(),Consolidated!J20)</f>
        <v>#N/A</v>
      </c>
      <c r="I139" t="e">
        <f>IF(OR(Consolidated!K20=0,Consolidated!K20=""),NA(),Consolidated!K20)</f>
        <v>#N/A</v>
      </c>
      <c r="J139" t="e">
        <f>IF(OR(Consolidated!L20=0,Consolidated!L20=""),NA(),Consolidated!L20)</f>
        <v>#N/A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-64908.31</v>
      </c>
      <c r="D140" s="47">
        <f t="shared" si="64"/>
        <v>-65198.560419534093</v>
      </c>
      <c r="E140" s="47">
        <f t="shared" si="64"/>
        <v>-65490.108751554879</v>
      </c>
      <c r="F140" s="47">
        <f t="shared" si="64"/>
        <v>-65782.960799936234</v>
      </c>
      <c r="G140" s="47">
        <f t="shared" si="64"/>
        <v>-66077.12239450519</v>
      </c>
      <c r="H140" s="47">
        <f t="shared" si="64"/>
        <v>-66372.599391158015</v>
      </c>
      <c r="I140" s="47">
        <f t="shared" si="64"/>
        <v>-66669.397671976782</v>
      </c>
      <c r="J140" s="47">
        <f t="shared" si="64"/>
        <v>-66967.52314534648</v>
      </c>
      <c r="K140" s="47">
        <f t="shared" si="64"/>
        <v>-67266.981746072575</v>
      </c>
      <c r="L140" s="47">
        <f t="shared" si="64"/>
        <v>-67567.779435499237</v>
      </c>
      <c r="M140" s="47">
        <f t="shared" si="64"/>
        <v>-67869.922201627953</v>
      </c>
      <c r="N140" s="47">
        <f t="shared" si="64"/>
        <v>-68173.41605923677</v>
      </c>
    </row>
    <row r="141" spans="2:17">
      <c r="B141" t="s">
        <v>543</v>
      </c>
      <c r="C141" s="3">
        <f>IF(OR(Consolidated!E28=0,Consolidated!E28=""),NA(),Consolidated!E28)</f>
        <v>-64872.260000000009</v>
      </c>
      <c r="D141" s="3">
        <f>IF(OR(Consolidated!F28=0,Consolidated!F28=""),NA(),Consolidated!F28)</f>
        <v>-63769.759999999995</v>
      </c>
      <c r="E141" s="3">
        <f>IF(OR(Consolidated!G28=0,Consolidated!G28=""),NA(),Consolidated!G28)</f>
        <v>-66416.09</v>
      </c>
      <c r="F141" s="3">
        <f>IF(OR(Consolidated!H28=0,Consolidated!H28=""),NA(),Consolidated!H28)</f>
        <v>-64575.130000000019</v>
      </c>
      <c r="G141">
        <f>IF(OR(Consolidated!I28=0,Consolidated!I28=""),NA(),Consolidated!I28)</f>
        <v>-85976.890000000014</v>
      </c>
      <c r="H141" t="e">
        <f>IF(OR(Consolidated!J28=0,Consolidated!J28=""),NA(),Consolidated!J28)</f>
        <v>#N/A</v>
      </c>
      <c r="I141" t="e">
        <f>IF(OR(Consolidated!K28=0,Consolidated!K28=""),NA(),Consolidated!K28)</f>
        <v>#N/A</v>
      </c>
      <c r="J141" t="e">
        <f>IF(OR(Consolidated!L28=0,Consolidated!L28=""),NA(),Consolidated!L28)</f>
        <v>#N/A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14761.422661289253</v>
      </c>
      <c r="D142">
        <f t="shared" si="65"/>
        <v>52887.465759073479</v>
      </c>
      <c r="E142">
        <f t="shared" si="65"/>
        <v>83460.172365548933</v>
      </c>
      <c r="F142">
        <f t="shared" si="65"/>
        <v>34228.068820448738</v>
      </c>
      <c r="G142">
        <f t="shared" si="65"/>
        <v>85747.595950238028</v>
      </c>
      <c r="H142">
        <f t="shared" si="65"/>
        <v>76872.198198389859</v>
      </c>
      <c r="I142">
        <f t="shared" si="65"/>
        <v>25904.640434776535</v>
      </c>
      <c r="J142">
        <f t="shared" si="65"/>
        <v>63838.479085742045</v>
      </c>
      <c r="K142">
        <f t="shared" si="65"/>
        <v>65225.764919637717</v>
      </c>
      <c r="L142">
        <f t="shared" si="65"/>
        <v>19111.171112389755</v>
      </c>
      <c r="M142">
        <f t="shared" si="65"/>
        <v>68098.19269717703</v>
      </c>
      <c r="N142">
        <f t="shared" si="65"/>
        <v>69584.685527544323</v>
      </c>
    </row>
    <row r="143" spans="2:17">
      <c r="B143" t="s">
        <v>544</v>
      </c>
      <c r="C143" s="3">
        <f>IF(OR(Consolidated!E34=0,Consolidated!E34=""),NA(),Consolidated!E34)</f>
        <v>30758.360000000048</v>
      </c>
      <c r="D143" s="3">
        <f>IF(OR(Consolidated!F34=0,Consolidated!F34=""),NA(),Consolidated!F34)</f>
        <v>49534.050000000047</v>
      </c>
      <c r="E143" s="3">
        <f>IF(OR(Consolidated!G34=0,Consolidated!G34=""),NA(),Consolidated!G34)</f>
        <v>69573.820000000109</v>
      </c>
      <c r="F143" s="3">
        <f>IF(OR(Consolidated!H34=0,Consolidated!H34=""),NA(),Consolidated!H34)</f>
        <v>37599.060000000129</v>
      </c>
      <c r="G143">
        <f>IF(OR(Consolidated!I34=0,Consolidated!I34=""),NA(),Consolidated!I34)</f>
        <v>65956.47000000003</v>
      </c>
      <c r="H143" t="e">
        <f>IF(OR(Consolidated!J34=0,Consolidated!J34=""),NA(),Consolidated!J34)</f>
        <v>#N/A</v>
      </c>
      <c r="I143" t="e">
        <f>IF(OR(Consolidated!K34=0,Consolidated!K34=""),NA(),Consolidated!K34)</f>
        <v>#N/A</v>
      </c>
      <c r="J143" t="e">
        <f>IF(OR(Consolidated!L34=0,Consolidated!L34=""),NA(),Consolidated!L34)</f>
        <v>#N/A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545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-23332.250000000004</v>
      </c>
      <c r="E145" s="3">
        <f>IF(OR(Consolidated!G35=0,Consolidated!G35=""),NA(),Consolidated!G35)</f>
        <v>-25476.399999999987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-19711.419999999998</v>
      </c>
      <c r="H145" t="e">
        <f>IF(OR(Consolidated!J35=0,Consolidated!J35=""),NA(),Consolidated!J35)</f>
        <v>#N/A</v>
      </c>
      <c r="I145" t="e">
        <f>IF(OR(Consolidated!K35=0,Consolidated!K35=""),NA(),Consolidated!K35)</f>
        <v>#N/A</v>
      </c>
      <c r="J145" t="e">
        <f>IF(OR(Consolidated!L35=0,Consolidated!L35=""),NA(),Consolidated!L35)</f>
        <v>#N/A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-8594.0573387107434</v>
      </c>
      <c r="D146">
        <f t="shared" si="67"/>
        <v>29427.547084450463</v>
      </c>
      <c r="E146">
        <f t="shared" si="67"/>
        <v>59895.347997994686</v>
      </c>
      <c r="F146">
        <f t="shared" si="67"/>
        <v>10557.869653289792</v>
      </c>
      <c r="G146">
        <f t="shared" si="67"/>
        <v>61971.55077909711</v>
      </c>
      <c r="H146">
        <f t="shared" si="67"/>
        <v>52989.833711805579</v>
      </c>
      <c r="I146">
        <f t="shared" si="67"/>
        <v>1915.4812047811756</v>
      </c>
      <c r="J146">
        <f t="shared" si="67"/>
        <v>39742.047558397142</v>
      </c>
      <c r="K146">
        <f t="shared" si="67"/>
        <v>41021.581405527388</v>
      </c>
      <c r="L146">
        <f t="shared" si="67"/>
        <v>-5201.2462229285375</v>
      </c>
      <c r="M146">
        <f t="shared" si="67"/>
        <v>43677.057551589707</v>
      </c>
      <c r="N146">
        <f t="shared" si="67"/>
        <v>45054.346418373512</v>
      </c>
    </row>
    <row r="147" spans="2:14">
      <c r="B147" t="s">
        <v>546</v>
      </c>
      <c r="C147" s="3">
        <f>IF(OR(Consolidated!E46=0,Consolidated!E46=""),NA(),Consolidated!E46)</f>
        <v>7276.8600000000515</v>
      </c>
      <c r="D147" s="3">
        <f>IF(OR(Consolidated!F46=0,Consolidated!F46=""),NA(),Consolidated!F46)</f>
        <v>26201.800000000043</v>
      </c>
      <c r="E147" s="3">
        <f>IF(OR(Consolidated!G46=0,Consolidated!G46=""),NA(),Consolidated!G46)</f>
        <v>44097.420000000129</v>
      </c>
      <c r="F147" s="3">
        <f>IF(OR(Consolidated!H46=0,Consolidated!H46=""),NA(),Consolidated!H46)</f>
        <v>16467.290000000132</v>
      </c>
      <c r="G147">
        <f>IF(OR(Consolidated!I46=0,Consolidated!I46=""),NA(),Consolidated!I46)</f>
        <v>46245.050000000025</v>
      </c>
      <c r="H147" t="e">
        <f>IF(OR(Consolidated!J46=0,Consolidated!J46=""),NA(),Consolidated!J46)</f>
        <v>#N/A</v>
      </c>
      <c r="I147" t="e">
        <f>IF(OR(Consolidated!K46=0,Consolidated!K46=""),NA(),Consolidated!K46)</f>
        <v>#N/A</v>
      </c>
      <c r="J147" t="e">
        <f>IF(OR(Consolidated!L46=0,Consolidated!L46=""),NA(),Consolidated!L46)</f>
        <v>#N/A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-9711.0934521232994</v>
      </c>
      <c r="D148">
        <f t="shared" si="68"/>
        <v>28403.356947905275</v>
      </c>
      <c r="E148">
        <f t="shared" si="68"/>
        <v>58720.048513184418</v>
      </c>
      <c r="F148">
        <f t="shared" si="68"/>
        <v>9375.047986853464</v>
      </c>
      <c r="G148">
        <f t="shared" si="68"/>
        <v>60769.512343332055</v>
      </c>
      <c r="H148">
        <f t="shared" si="68"/>
        <v>51867.608492367923</v>
      </c>
      <c r="I148">
        <f t="shared" si="68"/>
        <v>775.2511449547676</v>
      </c>
      <c r="J148">
        <f t="shared" si="68"/>
        <v>38735.532063224222</v>
      </c>
      <c r="K148">
        <f t="shared" si="68"/>
        <v>39999.37526445101</v>
      </c>
      <c r="L148">
        <f t="shared" si="68"/>
        <v>-6239.4568228264397</v>
      </c>
      <c r="M148">
        <f t="shared" si="68"/>
        <v>42622.522403693845</v>
      </c>
      <c r="N148">
        <f t="shared" si="68"/>
        <v>43983.160231519738</v>
      </c>
    </row>
    <row r="149" spans="2:14">
      <c r="B149" t="s">
        <v>547</v>
      </c>
      <c r="C149" s="3">
        <f>IF(OR(Consolidated!E49=0,Consolidated!E49=""),NA(),Consolidated!E49)</f>
        <v>6022.6300000000538</v>
      </c>
      <c r="D149" s="3">
        <f>IF(OR(Consolidated!F49=0,Consolidated!F49=""),NA(),Consolidated!F49)</f>
        <v>25230.490000000045</v>
      </c>
      <c r="E149" s="3">
        <f>IF(OR(Consolidated!G49=0,Consolidated!G49=""),NA(),Consolidated!G49)</f>
        <v>43760.270000000128</v>
      </c>
      <c r="F149" s="3">
        <f>IF(OR(Consolidated!H49=0,Consolidated!H49=""),NA(),Consolidated!H49)</f>
        <v>15718.780000000135</v>
      </c>
      <c r="G149">
        <f>IF(OR(Consolidated!I49=0,Consolidated!I49=""),NA(),Consolidated!I49)</f>
        <v>47049.180000000022</v>
      </c>
      <c r="H149" t="e">
        <f>IF(OR(Consolidated!J49=0,Consolidated!J49=""),NA(),Consolidated!J49)</f>
        <v>#N/A</v>
      </c>
      <c r="I149" t="e">
        <f>IF(OR(Consolidated!K49=0,Consolidated!K49=""),NA(),Consolidated!K49)</f>
        <v>#N/A</v>
      </c>
      <c r="J149" t="e">
        <f>IF(OR(Consolidated!L49=0,Consolidated!L49=""),NA(),Consolidated!L49)</f>
        <v>#N/A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-10056.854927006381</v>
      </c>
      <c r="E150">
        <f t="shared" si="69"/>
        <v>-11540.646597508725</v>
      </c>
      <c r="F150">
        <f t="shared" si="69"/>
        <v>-11614.509337100269</v>
      </c>
      <c r="G150">
        <f t="shared" si="69"/>
        <v>-11803.205023974053</v>
      </c>
      <c r="H150">
        <f t="shared" si="69"/>
        <v>-11019.493182567334</v>
      </c>
      <c r="I150">
        <f t="shared" si="69"/>
        <v>-11196.288546350461</v>
      </c>
      <c r="J150">
        <f t="shared" si="69"/>
        <v>-9883.3018943952848</v>
      </c>
      <c r="K150">
        <f t="shared" si="69"/>
        <v>-10037.37343241497</v>
      </c>
      <c r="L150">
        <f t="shared" si="69"/>
        <v>-10194.526401195048</v>
      </c>
      <c r="M150">
        <f t="shared" si="69"/>
        <v>-10354.822429350726</v>
      </c>
      <c r="N150">
        <f t="shared" si="69"/>
        <v>-10518.324378069519</v>
      </c>
    </row>
    <row r="151" spans="2:14">
      <c r="B151" t="s">
        <v>548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 t="e">
        <f>IF(OR(Consolidated!J50=0,Consolidated!J50=""),NA(),Consolidated!J50)</f>
        <v>#N/A</v>
      </c>
      <c r="I151" t="e">
        <f>IF(OR(Consolidated!K50=0,Consolidated!K50=""),NA(),Consolidated!K50)</f>
        <v>#N/A</v>
      </c>
      <c r="J151" t="e">
        <f>IF(OR(Consolidated!L50=0,Consolidated!L50=""),NA(),Consolidated!L50)</f>
        <v>#N/A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-20679.633120657287</v>
      </c>
      <c r="D152">
        <f t="shared" si="70"/>
        <v>18346.502020898894</v>
      </c>
      <c r="E152">
        <f t="shared" si="70"/>
        <v>47179.401915675691</v>
      </c>
      <c r="F152">
        <f t="shared" si="70"/>
        <v>-2239.4613502468055</v>
      </c>
      <c r="G152">
        <f t="shared" si="70"/>
        <v>48966.307319358006</v>
      </c>
      <c r="H152">
        <f t="shared" si="70"/>
        <v>40848.115309800589</v>
      </c>
      <c r="I152">
        <f t="shared" si="70"/>
        <v>-10421.037401395693</v>
      </c>
      <c r="J152">
        <f t="shared" si="70"/>
        <v>28852.230168828937</v>
      </c>
      <c r="K152">
        <f t="shared" si="70"/>
        <v>29962.00183203604</v>
      </c>
      <c r="L152">
        <f t="shared" si="70"/>
        <v>-16433.983224021489</v>
      </c>
      <c r="M152">
        <f t="shared" si="70"/>
        <v>32267.699974343119</v>
      </c>
      <c r="N152">
        <f t="shared" si="70"/>
        <v>33464.835853450219</v>
      </c>
    </row>
    <row r="153" spans="2:14">
      <c r="B153" t="s">
        <v>549</v>
      </c>
      <c r="C153" s="3">
        <f>IF(OR(Consolidated!E53=0,Consolidated!E53=""),NA(),Consolidated!E53)</f>
        <v>-4213.9399999999459</v>
      </c>
      <c r="D153" s="3">
        <f>IF(OR(Consolidated!F53=0,Consolidated!F53=""),NA(),Consolidated!F53)</f>
        <v>15111.240000000045</v>
      </c>
      <c r="E153" s="3">
        <f>IF(OR(Consolidated!G53=0,Consolidated!G53=""),NA(),Consolidated!G53)</f>
        <v>35020.690000000126</v>
      </c>
      <c r="F153" s="3">
        <f>IF(OR(Consolidated!H53=0,Consolidated!H53=""),NA(),Consolidated!H53)</f>
        <v>5081.9200000001347</v>
      </c>
      <c r="G153">
        <f>IF(OR(Consolidated!I53=0,Consolidated!I53=""),NA(),Consolidated!I53)</f>
        <v>37779.150000000023</v>
      </c>
      <c r="H153" t="e">
        <f>IF(OR(Consolidated!J53=0,Consolidated!J53=""),NA(),Consolidated!J53)</f>
        <v>#N/A</v>
      </c>
      <c r="I153" t="e">
        <f>IF(OR(Consolidated!K53=0,Consolidated!K53=""),NA(),Consolidated!K53)</f>
        <v>#N/A</v>
      </c>
      <c r="J153" t="e">
        <f>IF(OR(Consolidated!L53=0,Consolidated!L53=""),NA(),Consolidated!L53)</f>
        <v>#N/A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</mergeCells>
  <conditionalFormatting sqref="C70:N70">
    <cfRule type="expression" dxfId="22" priority="3">
      <formula>AND(ISNUMBER(C70),C70&gt;0.1)</formula>
    </cfRule>
    <cfRule type="expression" dxfId="21" priority="4">
      <formula>AND(ISNUMBER(C70),C70&lt;-0.1)</formula>
    </cfRule>
  </conditionalFormatting>
  <conditionalFormatting sqref="C76:N76">
    <cfRule type="expression" dxfId="20" priority="6">
      <formula>AND(ISNUMBER(C76),C76&gt;0.1)</formula>
    </cfRule>
    <cfRule type="expression" dxfId="19" priority="7">
      <formula>AND(ISNUMBER(C76),C76&lt;-0.1)</formula>
    </cfRule>
  </conditionalFormatting>
  <conditionalFormatting sqref="C82:N82">
    <cfRule type="expression" dxfId="18" priority="30">
      <formula>AND(ISNUMBER(C82),C82&gt;0.1)</formula>
    </cfRule>
    <cfRule type="expression" dxfId="17" priority="31">
      <formula>AND(ISNUMBER(C82),C82&lt;-0.1)</formula>
    </cfRule>
  </conditionalFormatting>
  <conditionalFormatting sqref="C88:N88">
    <cfRule type="expression" dxfId="16" priority="54">
      <formula>AND(ISNUMBER(C88),C88&gt;0.1)</formula>
    </cfRule>
    <cfRule type="expression" dxfId="15" priority="55">
      <formula>AND(ISNUMBER(C88),C88&lt;-0.1)</formula>
    </cfRule>
  </conditionalFormatting>
  <conditionalFormatting sqref="C94:N94">
    <cfRule type="expression" dxfId="14" priority="78">
      <formula>AND(ISNUMBER(C94),C94&gt;0.1)</formula>
    </cfRule>
    <cfRule type="expression" dxfId="13" priority="79">
      <formula>AND(ISNUMBER(C94),C94&lt;-0.1)</formula>
    </cfRule>
  </conditionalFormatting>
  <conditionalFormatting sqref="C100:N100">
    <cfRule type="expression" dxfId="12" priority="102">
      <formula>AND(ISNUMBER(C100),C100&gt;0.1)</formula>
    </cfRule>
    <cfRule type="expression" dxfId="11" priority="103">
      <formula>AND(ISNUMBER(C100),C100&lt;-0.1)</formula>
    </cfRule>
  </conditionalFormatting>
  <conditionalFormatting sqref="C106:N106">
    <cfRule type="expression" dxfId="10" priority="126">
      <formula>AND(ISNUMBER(C106),C106&gt;0.1)</formula>
    </cfRule>
    <cfRule type="expression" dxfId="9" priority="127">
      <formula>AND(ISNUMBER(C106),C106&lt;-0.1)</formula>
    </cfRule>
  </conditionalFormatting>
  <conditionalFormatting sqref="C112:N112">
    <cfRule type="expression" dxfId="8" priority="150">
      <formula>AND(ISNUMBER(C112),C112&gt;0.1)</formula>
    </cfRule>
    <cfRule type="expression" dxfId="7" priority="151">
      <formula>AND(ISNUMBER(C112),C112&lt;-0.1)</formula>
    </cfRule>
  </conditionalFormatting>
  <conditionalFormatting sqref="C118:N118">
    <cfRule type="expression" dxfId="6" priority="174">
      <formula>AND(ISNUMBER(C118),C118&gt;0.1)</formula>
    </cfRule>
    <cfRule type="expression" dxfId="5" priority="175">
      <formula>AND(ISNUMBER(C118),C118&lt;-0.1)</formula>
    </cfRule>
  </conditionalFormatting>
  <conditionalFormatting sqref="C124:N124">
    <cfRule type="expression" dxfId="4" priority="198">
      <formula>AND(ISNUMBER(C124),C124&gt;0.1)</formula>
    </cfRule>
    <cfRule type="expression" dxfId="3" priority="199">
      <formula>AND(ISNUMBER(C124),C124&lt;-0.1)</formula>
    </cfRule>
  </conditionalFormatting>
  <conditionalFormatting sqref="C131:N131">
    <cfRule type="expression" dxfId="2" priority="1">
      <formula>AND(ISNUMBER(C131),C131&gt;0.1)</formula>
    </cfRule>
    <cfRule type="expression" dxfId="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87" t="s">
        <v>100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7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tabSelected="1" zoomScale="93" zoomScaleNormal="93" workbookViewId="0">
      <selection activeCell="V62" sqref="V62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593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593</v>
      </c>
      <c r="K5" s="283" t="s">
        <v>593</v>
      </c>
      <c r="L5" s="283" t="s">
        <v>593</v>
      </c>
      <c r="M5" s="283" t="s">
        <v>593</v>
      </c>
      <c r="N5" s="283" t="s">
        <v>593</v>
      </c>
      <c r="O5" s="283" t="s">
        <v>593</v>
      </c>
      <c r="P5" s="283" t="s">
        <v>593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298493523.49000001</v>
      </c>
      <c r="K7" s="237">
        <f>IF(K5=$D$2,Consolidated!K4,'Orçamento 2026'!I27)</f>
        <v>304463393.9598</v>
      </c>
      <c r="L7" s="238">
        <f>IF(L5=$D$2,Consolidated!L4,'Orçamento 2026'!J27)</f>
        <v>258102679.66980001</v>
      </c>
      <c r="M7" s="236">
        <f>IF(M5=$D$2,Consolidated!M4,'Orçamento 2026'!K27)</f>
        <v>263264733.26319602</v>
      </c>
      <c r="N7" s="239">
        <f>IF(N5=$D$2,Consolidated!N4,'Orçamento 2026'!L27)</f>
        <v>268530027.92845994</v>
      </c>
      <c r="O7" s="239">
        <f>IF(O5=$D$2,Consolidated!O4,'Orçamento 2026'!M27)</f>
        <v>273900628.48702914</v>
      </c>
      <c r="P7" s="239">
        <f>IF(P5=$D$2,Consolidated!P4,'Orçamento 2026'!N27)</f>
        <v>279378641.05676973</v>
      </c>
      <c r="Q7" s="8" t="s">
        <v>8</v>
      </c>
      <c r="U7" s="8" t="s">
        <v>8</v>
      </c>
    </row>
    <row r="8" spans="4:28">
      <c r="D8" s="231" t="s">
        <v>539</v>
      </c>
      <c r="E8" s="232">
        <f>IF(E7&gt;0,(E10/E7)*12,"")</f>
        <v>1.2187593603240256E-2</v>
      </c>
      <c r="F8" s="233">
        <f t="shared" ref="F8:P8" si="0">IF(F7&gt;0,(F10/F7)*12,"")</f>
        <v>9.3550861660580617E-3</v>
      </c>
      <c r="G8" s="234">
        <f t="shared" si="0"/>
        <v>1.0633145385518513E-2</v>
      </c>
      <c r="H8" s="232">
        <f t="shared" si="0"/>
        <v>1.1552257050865782E-2</v>
      </c>
      <c r="I8" s="233">
        <f t="shared" si="0"/>
        <v>1.0792187823260233E-2</v>
      </c>
      <c r="J8" s="234">
        <f t="shared" si="0"/>
        <v>1.1278890137881846E-2</v>
      </c>
      <c r="K8" s="232">
        <f t="shared" si="0"/>
        <v>1.1235144346879602E-2</v>
      </c>
      <c r="L8" s="233">
        <f t="shared" si="0"/>
        <v>1.1699012537885169E-2</v>
      </c>
      <c r="M8" s="234">
        <f t="shared" si="0"/>
        <v>1.1648420907798943E-2</v>
      </c>
      <c r="N8" s="232">
        <f t="shared" si="0"/>
        <v>1.1598821270459509E-2</v>
      </c>
      <c r="O8" s="233">
        <f t="shared" si="0"/>
        <v>1.1550194175028691E-2</v>
      </c>
      <c r="P8" s="234">
        <f t="shared" si="0"/>
        <v>1.1502520552057298E-2</v>
      </c>
      <c r="Q8" s="240">
        <f>AVERAGE(E8:P8)</f>
        <v>1.1252772829744491E-2</v>
      </c>
      <c r="U8" s="261">
        <v>4</v>
      </c>
    </row>
    <row r="9" spans="4:28">
      <c r="D9" s="217" t="s">
        <v>6</v>
      </c>
      <c r="E9" s="224" t="s">
        <v>531</v>
      </c>
      <c r="F9" s="225" t="s">
        <v>530</v>
      </c>
      <c r="G9" s="226" t="s">
        <v>529</v>
      </c>
      <c r="H9" s="224" t="s">
        <v>528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295046.17000000004</v>
      </c>
      <c r="F10" s="208">
        <f>CNS!C8+CRR!C8</f>
        <v>237394.00000000003</v>
      </c>
      <c r="G10" s="208">
        <f>CNS!D8+CRR!D8</f>
        <v>274171.35000000009</v>
      </c>
      <c r="H10" s="212">
        <f>CNS!E8+CRR!E8</f>
        <v>300220.63000000012</v>
      </c>
      <c r="I10" s="208">
        <f>IF(I5=$D$2,Consolidated!I7,SUM(I11:I21))</f>
        <v>280659.47000000009</v>
      </c>
      <c r="J10" s="208">
        <f>IF(J5=$D$2,Consolidated!J7,SUM(J11:J21))</f>
        <v>280556.30485941371</v>
      </c>
      <c r="K10" s="212">
        <f>IF(K5=$D$2,Consolidated!K7,SUM(K11:K21))</f>
        <v>285057.51495660201</v>
      </c>
      <c r="L10" s="208">
        <f>IF(L5=$D$2,Consolidated!L7,SUM(L11:L21))</f>
        <v>251628.87379322914</v>
      </c>
      <c r="M10" s="208">
        <f>IF(M5=$D$2,Consolidated!M7,SUM(M11:M21))</f>
        <v>255551.53526909373</v>
      </c>
      <c r="N10" s="212">
        <f>IF(N5=$D$2,Consolidated!N7,SUM(N11:N21))</f>
        <v>259552.64997447559</v>
      </c>
      <c r="O10" s="208">
        <f>IF(O5=$D$2,Consolidated!O7,SUM(O11:O21))</f>
        <v>263633.78697396512</v>
      </c>
      <c r="P10" s="208">
        <f>IF(P5=$D$2,Consolidated!P7,SUM(P11:P21))</f>
        <v>267796.5467134444</v>
      </c>
      <c r="Q10" s="215">
        <f>SUM(E10:P10)</f>
        <v>3251268.8325402243</v>
      </c>
      <c r="T10" s="330" t="s">
        <v>9</v>
      </c>
      <c r="U10" s="215">
        <f>Q10/$U$8</f>
        <v>812817.20813505608</v>
      </c>
    </row>
    <row r="11" spans="4:28">
      <c r="D11" s="219" t="s">
        <v>225</v>
      </c>
      <c r="E11" s="123">
        <f>CNS!B9</f>
        <v>175559.2</v>
      </c>
      <c r="F11" s="6">
        <f>CNS!C9</f>
        <v>177140.28000000006</v>
      </c>
      <c r="G11" s="6">
        <f>CNS!D9</f>
        <v>184550.54000000004</v>
      </c>
      <c r="H11" s="123">
        <f>CNS!E9</f>
        <v>191454.82000000007</v>
      </c>
      <c r="I11" s="281">
        <f>IF(I5=$D$2,CNS!F9,'Orçamento 2026'!G32)</f>
        <v>195739.19000000006</v>
      </c>
      <c r="J11" s="281">
        <f>IF(J5=$D$2,CNS!G9,'Orçamento 2026'!H32)</f>
        <v>173755.42365926344</v>
      </c>
      <c r="K11" s="282">
        <f>IF(K5=$D$2,CNS!H9,'Orçamento 2026'!I32)</f>
        <v>177230.53213244872</v>
      </c>
      <c r="L11" s="281">
        <f>IF(L5=$D$2,CNS!I9,'Orçamento 2026'!J32)</f>
        <v>151770.3727750977</v>
      </c>
      <c r="M11" s="281">
        <f>IF(M5=$D$2,CNS!J9,'Orçamento 2026'!K32)</f>
        <v>154805.78023059966</v>
      </c>
      <c r="N11" s="282">
        <f>IF(N5=$D$2,CNS!K9,'Orçamento 2026'!L32)</f>
        <v>157901.89583521165</v>
      </c>
      <c r="O11" s="281">
        <f>IF(O5=$D$2,CNS!L9,'Orçamento 2026'!M32)</f>
        <v>161059.93375191587</v>
      </c>
      <c r="P11" s="281">
        <f>IF(P5=$D$2,CNS!M9,'Orçamento 2026'!N32)</f>
        <v>164281.13242695419</v>
      </c>
      <c r="Q11" s="9">
        <f>SUM(E11:P11)</f>
        <v>2065249.1008114913</v>
      </c>
      <c r="R11" s="229">
        <f>Q11/$Q$10</f>
        <v>0.63521326816826373</v>
      </c>
      <c r="T11" s="219" t="s">
        <v>225</v>
      </c>
      <c r="U11" s="9">
        <f t="shared" ref="U11:U56" si="1">Q11/$U$8</f>
        <v>516312.27520287281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>
        <f>IF(J5=$D$2,CNS!G10,'Orçamento 2026'!H33)</f>
        <v>12461.517890869247</v>
      </c>
      <c r="K12" s="282">
        <f>IF(K5=$D$2,CNS!H10,'Orçamento 2026'!I33)</f>
        <v>12710.748248686632</v>
      </c>
      <c r="L12" s="281">
        <f>IF(L5=$D$2,CNS!I10,'Orçamento 2026'!J33)</f>
        <v>10775.279553072984</v>
      </c>
      <c r="M12" s="281">
        <f>IF(M5=$D$2,CNS!J10,'Orçamento 2026'!K33)</f>
        <v>10990.785144134443</v>
      </c>
      <c r="N12" s="282">
        <f>IF(N5=$D$2,CNS!K10,'Orçamento 2026'!L33)</f>
        <v>11210.600847017131</v>
      </c>
      <c r="O12" s="281">
        <f>IF(O5=$D$2,CNS!L10,'Orçamento 2026'!M33)</f>
        <v>11434.812863957473</v>
      </c>
      <c r="P12" s="281">
        <f>IF(P5=$D$2,CNS!M10,'Orçamento 2026'!N33)</f>
        <v>11663.509121236624</v>
      </c>
      <c r="Q12" s="9">
        <f t="shared" ref="Q12:Q55" si="2">SUM(E12:P12)</f>
        <v>138247.25366897453</v>
      </c>
      <c r="R12" s="229">
        <f t="shared" ref="R12:R22" si="3">Q12/$Q$10</f>
        <v>4.2521015883193396E-2</v>
      </c>
      <c r="T12" s="219" t="s">
        <v>236</v>
      </c>
      <c r="U12" s="9">
        <f t="shared" si="1"/>
        <v>34561.813417243633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 t="str">
        <f>CNS!C11</f>
        <v>0,00</v>
      </c>
      <c r="G13" s="6">
        <f>CNS!D11</f>
        <v>34000</v>
      </c>
      <c r="H13" s="123">
        <f>CNS!E11</f>
        <v>34000</v>
      </c>
      <c r="I13" s="281">
        <f>IF(I5=$D$2,CNS!F11,'Orçamento 2026'!G34)</f>
        <v>34000</v>
      </c>
      <c r="J13" s="281">
        <f>IF(J5=$D$2,CNS!G11,'Orçamento 2026'!H34)</f>
        <v>34000</v>
      </c>
      <c r="K13" s="282">
        <f>IF(K5=$D$2,CNS!H11,'Orçamento 2026'!I34)</f>
        <v>34000</v>
      </c>
      <c r="L13" s="281">
        <f>IF(L5=$D$2,CNS!I11,'Orçamento 2026'!J34)</f>
        <v>34000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374000</v>
      </c>
      <c r="R13" s="229">
        <f t="shared" si="3"/>
        <v>0.11503201342713727</v>
      </c>
      <c r="T13" s="219" t="s">
        <v>394</v>
      </c>
      <c r="U13" s="9">
        <f t="shared" si="1"/>
        <v>93500</v>
      </c>
    </row>
    <row r="14" spans="4:28">
      <c r="D14" s="219" t="s">
        <v>562</v>
      </c>
      <c r="E14" s="123">
        <f>CNS!B12</f>
        <v>27823.239999999998</v>
      </c>
      <c r="F14" s="6">
        <f>CNS!C12</f>
        <v>6238.62</v>
      </c>
      <c r="G14" s="6" t="str">
        <f>CNS!D12</f>
        <v>0,00</v>
      </c>
      <c r="H14" s="123">
        <f>CNS!E12</f>
        <v>30425.54</v>
      </c>
      <c r="I14" s="281" t="str">
        <f>IF(I5=$D$2,CNS!F12,'Orçamento 2026'!G35)</f>
        <v>0,00</v>
      </c>
      <c r="J14" s="281">
        <f>IF(J5=$D$2,CNS!G12,'Orçamento 2026'!H35)</f>
        <v>21495.8</v>
      </c>
      <c r="K14" s="282">
        <f>IF(K5=$D$2,CNS!H12,'Orçamento 2026'!I35)</f>
        <v>21495.8</v>
      </c>
      <c r="L14" s="281">
        <f>IF(L5=$D$2,CNS!I12,'Orçamento 2026'!J35)</f>
        <v>21495.8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214957.99999999997</v>
      </c>
      <c r="R14" s="229">
        <f t="shared" si="3"/>
        <v>6.6115111075589761E-2</v>
      </c>
      <c r="T14" s="219" t="s">
        <v>562</v>
      </c>
      <c r="U14" s="9">
        <f t="shared" si="1"/>
        <v>53739.499999999993</v>
      </c>
    </row>
    <row r="15" spans="4:28">
      <c r="D15" s="219" t="s">
        <v>563</v>
      </c>
      <c r="E15" s="123">
        <f>CNS!B13</f>
        <v>375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>
        <f>IF(J5=$D$2,CNS!G13,0)</f>
        <v>0</v>
      </c>
      <c r="K15" s="123">
        <f>IF(K5=$D$2,CNS!H13,0)</f>
        <v>0</v>
      </c>
      <c r="L15" s="6">
        <f>IF(L5=$D$2,CNS!I13,0)</f>
        <v>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2925</v>
      </c>
      <c r="R15" s="229">
        <f t="shared" si="3"/>
        <v>8.9964876811330621E-4</v>
      </c>
      <c r="T15" s="219" t="s">
        <v>563</v>
      </c>
      <c r="U15" s="9">
        <f t="shared" si="1"/>
        <v>731.25</v>
      </c>
    </row>
    <row r="16" spans="4:28">
      <c r="D16" s="219" t="s">
        <v>564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>
        <f>IF(J5=$D$2,CNS!G14,0)</f>
        <v>0</v>
      </c>
      <c r="K16" s="123">
        <f>IF(K5=$D$2,CNS!H14,0)</f>
        <v>0</v>
      </c>
      <c r="L16" s="6">
        <f>IF(L5=$D$2,CNS!I14,0)</f>
        <v>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564</v>
      </c>
      <c r="U16" s="9">
        <f t="shared" si="1"/>
        <v>0</v>
      </c>
    </row>
    <row r="17" spans="4:27">
      <c r="D17" s="219" t="s">
        <v>565</v>
      </c>
      <c r="E17" s="123">
        <f>CRR!B9</f>
        <v>2129.2400000000002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4335.0199999999995</v>
      </c>
      <c r="J17" s="281">
        <f>IF(J5=$D$2,CRR!G9,'Orçamento 2026'!H36)</f>
        <v>38843.563309281031</v>
      </c>
      <c r="K17" s="282">
        <f>IF(K5=$D$2,CRR!H9,'Orçamento 2026'!I36)</f>
        <v>39620.43457546665</v>
      </c>
      <c r="L17" s="281">
        <f>IF(L5=$D$2,CRR!I9,'Orçamento 2026'!J36)</f>
        <v>33587.421465058462</v>
      </c>
      <c r="M17" s="281">
        <f>IF(M5=$D$2,CRR!J9,'Orçamento 2026'!K36)</f>
        <v>34259.169894359628</v>
      </c>
      <c r="N17" s="282">
        <f>IF(N5=$D$2,CRR!K9,'Orçamento 2026'!L36)</f>
        <v>34944.353292246822</v>
      </c>
      <c r="O17" s="281">
        <f>IF(O5=$D$2,CRR!L9,'Orçamento 2026'!M36)</f>
        <v>35643.24035809176</v>
      </c>
      <c r="P17" s="281">
        <f>IF(P5=$D$2,CRR!M9,'Orçamento 2026'!N36)</f>
        <v>36356.105165253597</v>
      </c>
      <c r="Q17" s="9">
        <f t="shared" si="2"/>
        <v>275039.6580597579</v>
      </c>
      <c r="R17" s="229">
        <f t="shared" si="3"/>
        <v>8.4594560531885868E-2</v>
      </c>
      <c r="T17" s="219" t="s">
        <v>565</v>
      </c>
      <c r="U17" s="9">
        <f t="shared" si="1"/>
        <v>68759.914514939475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>
        <f>IF(J5=$D$2,CRR!G10,0)</f>
        <v>0</v>
      </c>
      <c r="K18" s="123">
        <f>IF(K5=$D$2,CRR!H10,0)</f>
        <v>0</v>
      </c>
      <c r="L18" s="6">
        <f>IF(L5=$D$2,CRR!I10,0)</f>
        <v>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56387.999999999993</v>
      </c>
      <c r="R18" s="229">
        <f t="shared" si="3"/>
        <v>1.7343382815854052E-2</v>
      </c>
      <c r="T18" s="219" t="s">
        <v>24</v>
      </c>
      <c r="U18" s="9">
        <f t="shared" si="1"/>
        <v>14096.999999999998</v>
      </c>
    </row>
    <row r="19" spans="4:27">
      <c r="D19" s="219" t="s">
        <v>566</v>
      </c>
      <c r="E19" s="123">
        <f>CRR!B11</f>
        <v>4958.3599999999997</v>
      </c>
      <c r="F19" s="6">
        <f>CRR!C11</f>
        <v>4860.2800000000016</v>
      </c>
      <c r="G19" s="6">
        <f>CRR!D11</f>
        <v>6325.2800000000016</v>
      </c>
      <c r="H19" s="123">
        <f>CRR!E11</f>
        <v>5913.9100000000008</v>
      </c>
      <c r="I19" s="6">
        <f>IF(I5=$D$2,CRR!F11,0)</f>
        <v>2187.119999999999</v>
      </c>
      <c r="J19" s="6">
        <f>IF(J5=$D$2,CRR!G11,0)</f>
        <v>0</v>
      </c>
      <c r="K19" s="123">
        <f>IF(K5=$D$2,CRR!H11,0)</f>
        <v>0</v>
      </c>
      <c r="L19" s="6">
        <f>IF(L5=$D$2,CRR!I11,0)</f>
        <v>0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24244.95</v>
      </c>
      <c r="R19" s="229">
        <f t="shared" si="3"/>
        <v>7.4570732993055394E-3</v>
      </c>
      <c r="T19" s="219" t="s">
        <v>566</v>
      </c>
      <c r="U19" s="9">
        <f t="shared" si="1"/>
        <v>6061.2375000000002</v>
      </c>
    </row>
    <row r="20" spans="4:27">
      <c r="D20" s="219" t="s">
        <v>245</v>
      </c>
      <c r="E20" s="123">
        <f>CRR!B12</f>
        <v>20365.390000000003</v>
      </c>
      <c r="F20" s="6">
        <f>CRR!C12</f>
        <v>11096.949999999995</v>
      </c>
      <c r="G20" s="6">
        <f>CRR!D12</f>
        <v>13782.609999999993</v>
      </c>
      <c r="H20" s="123">
        <f>CRR!E12</f>
        <v>11693.059999999998</v>
      </c>
      <c r="I20" s="6">
        <f>IF(I5=$D$2,CRR!F12,0)</f>
        <v>19858.71</v>
      </c>
      <c r="J20" s="6">
        <f>IF(J5=$D$2,CRR!G12,0)</f>
        <v>0</v>
      </c>
      <c r="K20" s="123">
        <f>IF(K5=$D$2,CRR!H12,0)</f>
        <v>0</v>
      </c>
      <c r="L20" s="6">
        <f>IF(L5=$D$2,CRR!I12,0)</f>
        <v>0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76796.719999999987</v>
      </c>
      <c r="R20" s="229">
        <f t="shared" si="3"/>
        <v>2.3620538305347862E-2</v>
      </c>
      <c r="T20" s="219" t="s">
        <v>245</v>
      </c>
      <c r="U20" s="9">
        <f t="shared" si="1"/>
        <v>19199.179999999997</v>
      </c>
    </row>
    <row r="21" spans="4:27">
      <c r="D21" s="219" t="s">
        <v>567</v>
      </c>
      <c r="E21" s="123">
        <f>CRR!B13</f>
        <v>3858.1399999999994</v>
      </c>
      <c r="F21" s="6">
        <f>CRR!C13</f>
        <v>3050.26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6761.83</v>
      </c>
      <c r="J21" s="6">
        <f>IF(J5=$D$2,CRR!G13,0)</f>
        <v>0</v>
      </c>
      <c r="K21" s="123">
        <f>IF(K5=$D$2,CRR!H13,0)</f>
        <v>0</v>
      </c>
      <c r="L21" s="6">
        <f>IF(L5=$D$2,CRR!I13,0)</f>
        <v>0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23420.149999999994</v>
      </c>
      <c r="R21" s="229">
        <f t="shared" si="3"/>
        <v>7.2033877253090059E-3</v>
      </c>
      <c r="T21" s="219" t="s">
        <v>567</v>
      </c>
      <c r="U21" s="9">
        <f t="shared" si="1"/>
        <v>5855.0374999999985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-199415.55</v>
      </c>
      <c r="F23" s="10">
        <f>CNS!C16+CRR!C15</f>
        <v>-124090.19</v>
      </c>
      <c r="G23" s="10">
        <f>CNS!D16+CRR!D15</f>
        <v>-138181.44</v>
      </c>
      <c r="H23" s="122">
        <f>CNS!E16+CRR!E15</f>
        <v>-198046.43999999997</v>
      </c>
      <c r="I23" s="10">
        <f>IF(I5=$D$2,Consolidated!I20,SUM(Projeção!I24:I29))</f>
        <v>-128726.11000000002</v>
      </c>
      <c r="J23" s="10">
        <f>IF(J5=$D$2,Consolidated!J20,SUM(Projeção!J24:J29))</f>
        <v>-137311.50726986583</v>
      </c>
      <c r="K23" s="122">
        <f>IF(K5=$D$2,Consolidated!K20,SUM(Projeção!K24:K29))</f>
        <v>-192483.4768498487</v>
      </c>
      <c r="L23" s="10">
        <f>IF(L5=$D$2,Consolidated!L20,SUM(Projeção!L24:L29))</f>
        <v>-120822.87156214062</v>
      </c>
      <c r="M23" s="10">
        <f>IF(M5=$D$2,Consolidated!M20,SUM(Projeção!M24:M29))</f>
        <v>-123058.78860338344</v>
      </c>
      <c r="N23" s="122">
        <f>IF(N5=$D$2,Consolidated!N20,SUM(Projeção!N24:N29))</f>
        <v>-172873.69942658659</v>
      </c>
      <c r="O23" s="10">
        <f>IF(O5=$D$2,Consolidated!O20,SUM(Projeção!O24:O29))</f>
        <v>-127665.67207516012</v>
      </c>
      <c r="P23" s="10">
        <f>IF(P5=$D$2,Consolidated!P20,SUM(Projeção!P24:P29))</f>
        <v>-130038.44512666333</v>
      </c>
      <c r="Q23" s="11">
        <f t="shared" si="2"/>
        <v>-1792714.1909136483</v>
      </c>
      <c r="R23" s="230">
        <f>Q23/$Q$10</f>
        <v>-0.55138909861015595</v>
      </c>
      <c r="T23" s="221" t="s">
        <v>11</v>
      </c>
      <c r="U23" s="11">
        <f t="shared" si="1"/>
        <v>-448178.54772841209</v>
      </c>
    </row>
    <row r="24" spans="4:27">
      <c r="D24" s="219" t="s">
        <v>12</v>
      </c>
      <c r="E24" s="123">
        <f>CNS!B17+CRR!B16</f>
        <v>-102113.5</v>
      </c>
      <c r="F24" s="6">
        <f>CNS!C17+CRR!C16</f>
        <v>-21801.440000000002</v>
      </c>
      <c r="G24" s="6">
        <f>CNS!D17+CRR!D16</f>
        <v>-27344.44</v>
      </c>
      <c r="H24" s="123">
        <f>CNS!E17+CRR!E16</f>
        <v>-91514.16</v>
      </c>
      <c r="I24" s="281">
        <f>IF(I5=$D$2,Consolidated!I21,'Orçamento 2026'!G39+'Orçamento 2026'!G40)</f>
        <v>-23264.240000000002</v>
      </c>
      <c r="J24" s="281">
        <f>IF(J5=$D$2,Consolidated!J21,'Orçamento 2026'!H39+'Orçamento 2026'!H40)</f>
        <v>-39277.882680317925</v>
      </c>
      <c r="K24" s="282">
        <f>IF(K5=$D$2,Consolidated!K21,'Orçamento 2026'!I39+'Orçamento 2026'!I40)</f>
        <v>-92514.331918509823</v>
      </c>
      <c r="L24" s="281">
        <f>IF(L5=$D$2,Consolidated!L21,'Orçamento 2026'!J39+'Orçamento 2026'!J40)</f>
        <v>-35228.042331052086</v>
      </c>
      <c r="M24" s="281">
        <f>IF(M5=$D$2,Consolidated!M21,'Orçamento 2026'!K39+'Orçamento 2026'!K40)</f>
        <v>-35777.214937673125</v>
      </c>
      <c r="N24" s="282">
        <f>IF(N5=$D$2,Consolidated!N21,'Orçamento 2026'!L39+'Orçamento 2026'!L40)</f>
        <v>-83871.646437562071</v>
      </c>
      <c r="O24" s="281">
        <f>IF(O5=$D$2,Consolidated!O21,'Orçamento 2026'!M39+'Orçamento 2026'!M40)</f>
        <v>-36908.730176355122</v>
      </c>
      <c r="P24" s="281">
        <f>IF(P5=$D$2,Consolidated!P21,'Orçamento 2026'!N39+'Orçamento 2026'!N40)</f>
        <v>-37491.516539882221</v>
      </c>
      <c r="Q24" s="9">
        <f t="shared" si="2"/>
        <v>-627107.14502135233</v>
      </c>
      <c r="R24" s="230">
        <f>Q24/$Q$10</f>
        <v>-0.19288074204906397</v>
      </c>
      <c r="T24" s="219" t="s">
        <v>12</v>
      </c>
      <c r="U24" s="9">
        <f t="shared" si="1"/>
        <v>-156776.78625533808</v>
      </c>
      <c r="X24" s="273"/>
      <c r="Y24" s="273"/>
      <c r="Z24" s="273"/>
      <c r="AA24" s="273"/>
    </row>
    <row r="25" spans="4:27">
      <c r="D25" s="219" t="s">
        <v>521</v>
      </c>
      <c r="E25" s="123">
        <f>CNS!B18+CRR!B17</f>
        <v>-89450.62999999999</v>
      </c>
      <c r="F25" s="6">
        <f>CNS!C18+CRR!C17</f>
        <v>-91876.310000000012</v>
      </c>
      <c r="G25" s="6">
        <f>CNS!D18+CRR!D17</f>
        <v>-98268.03</v>
      </c>
      <c r="H25" s="123">
        <f>CNS!E18+CRR!E17</f>
        <v>-95663.76</v>
      </c>
      <c r="I25" s="281">
        <f>IF(I5=$D$2,Consolidated!I22,'Orçamento 2026'!G41)</f>
        <v>-91912.33</v>
      </c>
      <c r="J25" s="281">
        <f>IF(J5=$D$2,Consolidated!J22,'Orçamento 2026'!H41)</f>
        <v>-96776.017089547895</v>
      </c>
      <c r="K25" s="282">
        <f>IF(K5=$D$2,Consolidated!K22,'Orçamento 2026'!I41)</f>
        <v>-98711.53743133886</v>
      </c>
      <c r="L25" s="281">
        <f>IF(L5=$D$2,Consolidated!L22,'Orçamento 2026'!J41)</f>
        <v>-84337.221731088532</v>
      </c>
      <c r="M25" s="281">
        <f>IF(M5=$D$2,Consolidated!M22,'Orçamento 2026'!K41)</f>
        <v>-86023.966165710313</v>
      </c>
      <c r="N25" s="282">
        <f>IF(N5=$D$2,Consolidated!N22,'Orçamento 2026'!L41)</f>
        <v>-87744.445489024511</v>
      </c>
      <c r="O25" s="281">
        <f>IF(O5=$D$2,Consolidated!O22,'Orçamento 2026'!M41)</f>
        <v>-89499.334398805004</v>
      </c>
      <c r="P25" s="281">
        <f>IF(P5=$D$2,Consolidated!P22,'Orçamento 2026'!N41)</f>
        <v>-91289.321086781099</v>
      </c>
      <c r="Q25" s="9">
        <f t="shared" si="2"/>
        <v>-1101552.9033922963</v>
      </c>
      <c r="R25" s="230">
        <f t="shared" ref="R25:R29" si="4">Q25/$Q$10</f>
        <v>-0.33880708121316755</v>
      </c>
      <c r="T25" s="219" t="s">
        <v>521</v>
      </c>
      <c r="U25" s="9">
        <f t="shared" si="1"/>
        <v>-275388.22584807407</v>
      </c>
    </row>
    <row r="26" spans="4:27">
      <c r="D26" s="219" t="s">
        <v>520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0</v>
      </c>
      <c r="K26" s="123">
        <f>IF(K5=$D$2,Consolidated!K23,0)</f>
        <v>0</v>
      </c>
      <c r="L26" s="6">
        <f>IF(L5=$D$2,Consolidated!L23,0)</f>
        <v>0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-33351.040000000001</v>
      </c>
      <c r="R26" s="230">
        <f t="shared" si="4"/>
        <v>-1.0257853692751315E-2</v>
      </c>
      <c r="T26" s="219" t="s">
        <v>520</v>
      </c>
      <c r="U26" s="9">
        <f t="shared" si="1"/>
        <v>-8337.76</v>
      </c>
    </row>
    <row r="27" spans="4:27">
      <c r="D27" s="219" t="s">
        <v>519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-1257.6075000000001</v>
      </c>
      <c r="K27" s="282">
        <f>IF(K5=$D$2,Consolidated!K24,'Orçamento 2026'!I42)</f>
        <v>-1257.6075000000001</v>
      </c>
      <c r="L27" s="281">
        <f>IF(L5=$D$2,Consolidated!L24,'Orçamento 2026'!J42)</f>
        <v>-1257.6075000000001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-14673.682500000001</v>
      </c>
      <c r="R27" s="230">
        <f t="shared" si="4"/>
        <v>-4.5132172255763353E-3</v>
      </c>
      <c r="T27" s="219" t="s">
        <v>519</v>
      </c>
      <c r="U27" s="9">
        <f t="shared" si="1"/>
        <v>-3668.4206250000002</v>
      </c>
    </row>
    <row r="28" spans="4:27">
      <c r="D28" s="219" t="s">
        <v>518</v>
      </c>
      <c r="E28" s="123">
        <f>CNS!B21+CRR!B20</f>
        <v>-1163.7199999999998</v>
      </c>
      <c r="F28" s="6">
        <f>CNS!C21+CRR!C20</f>
        <v>-1319.6100000000001</v>
      </c>
      <c r="G28" s="6">
        <f>CNS!D21+CRR!D20</f>
        <v>-3923.62</v>
      </c>
      <c r="H28" s="123">
        <f>CNS!E21+CRR!E20</f>
        <v>-1950.6299999999999</v>
      </c>
      <c r="I28" s="281">
        <f>IF(I5=$D$2,Consolidated!I25,'Orçamento 2026'!G43)</f>
        <v>-3298.79</v>
      </c>
      <c r="J28" s="281">
        <f>CNS!G21+CRR!G20</f>
        <v>0</v>
      </c>
      <c r="K28" s="282">
        <f>CNS!H21+CRR!H20</f>
        <v>0</v>
      </c>
      <c r="L28" s="281">
        <f>CNS!I21+CRR!I20</f>
        <v>0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-11656.369999999999</v>
      </c>
      <c r="R28" s="230">
        <f t="shared" si="4"/>
        <v>-3.5851756961274863E-3</v>
      </c>
      <c r="T28" s="219" t="s">
        <v>518</v>
      </c>
      <c r="U28" s="9">
        <f t="shared" si="1"/>
        <v>-2914.0924999999997</v>
      </c>
    </row>
    <row r="29" spans="4:27">
      <c r="D29" s="219" t="s">
        <v>517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0</v>
      </c>
      <c r="K29" s="123">
        <f>IF(K5=$D$2,Consolidated!K26,0)</f>
        <v>0</v>
      </c>
      <c r="L29" s="6">
        <f>IF(L5=$D$2,Consolidated!L26,0)</f>
        <v>0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-4373.05</v>
      </c>
      <c r="R29" s="230">
        <f t="shared" si="4"/>
        <v>-1.3450287334693654E-3</v>
      </c>
      <c r="T29" s="219" t="s">
        <v>517</v>
      </c>
      <c r="U29" s="9">
        <f t="shared" si="1"/>
        <v>-1093.2625</v>
      </c>
    </row>
    <row r="30" spans="4:27">
      <c r="D30" s="218" t="s">
        <v>14</v>
      </c>
      <c r="E30" s="212">
        <f>CNS!B23+CRR!B22</f>
        <v>95630.620000000054</v>
      </c>
      <c r="F30" s="208">
        <f>CNS!C23+CRR!C22</f>
        <v>113303.81000000004</v>
      </c>
      <c r="G30" s="208">
        <f>CNS!D23+CRR!D22</f>
        <v>135989.91000000012</v>
      </c>
      <c r="H30" s="212">
        <f>CNS!E23+CRR!E22</f>
        <v>102174.19000000015</v>
      </c>
      <c r="I30" s="208">
        <f>I10+I23</f>
        <v>151933.36000000007</v>
      </c>
      <c r="J30" s="208">
        <f t="shared" ref="J30:P30" si="5">J10+J23</f>
        <v>143244.79758954787</v>
      </c>
      <c r="K30" s="212">
        <f t="shared" si="5"/>
        <v>92574.038106753316</v>
      </c>
      <c r="L30" s="208">
        <f t="shared" si="5"/>
        <v>130806.00223108853</v>
      </c>
      <c r="M30" s="208">
        <f t="shared" si="5"/>
        <v>132492.74666571029</v>
      </c>
      <c r="N30" s="212">
        <f t="shared" si="5"/>
        <v>86678.950547888991</v>
      </c>
      <c r="O30" s="208">
        <f t="shared" si="5"/>
        <v>135968.11489880498</v>
      </c>
      <c r="P30" s="208">
        <f t="shared" si="5"/>
        <v>137758.10158678109</v>
      </c>
      <c r="Q30" s="215">
        <f>SUM(E30:P30)</f>
        <v>1458554.6416265755</v>
      </c>
      <c r="R30" s="12">
        <f>Q30/$Q$10</f>
        <v>0.44861090138984389</v>
      </c>
      <c r="T30" s="330" t="s">
        <v>14</v>
      </c>
      <c r="U30" s="215">
        <f t="shared" si="1"/>
        <v>364638.66040664387</v>
      </c>
    </row>
    <row r="31" spans="4:27">
      <c r="D31" s="220" t="s">
        <v>15</v>
      </c>
      <c r="E31" s="122">
        <f>CNS!B24+CRR!B23</f>
        <v>-64872.260000000009</v>
      </c>
      <c r="F31" s="10">
        <f>CNS!C24+CRR!C23</f>
        <v>-63769.759999999995</v>
      </c>
      <c r="G31" s="10">
        <f>CNS!D24+CRR!D23</f>
        <v>-66416.09</v>
      </c>
      <c r="H31" s="122">
        <f>CNS!E24+CRR!E23</f>
        <v>-64575.130000000019</v>
      </c>
      <c r="I31" s="10">
        <f>IF(I5=$D$2,Consolidated!I28,'Orçamento 2026'!G45)</f>
        <v>-85976.890000000014</v>
      </c>
      <c r="J31" s="10">
        <f>IF(J5=$D$2,Consolidated!J28,'Orçamento 2026'!H45)</f>
        <v>-66372.599391158015</v>
      </c>
      <c r="K31" s="122">
        <f>IF(K5=$D$2,Consolidated!K28,'Orçamento 2026'!I45)</f>
        <v>-66669.397671976782</v>
      </c>
      <c r="L31" s="10">
        <f>IF(L5=$D$2,Consolidated!L28,'Orçamento 2026'!J45)</f>
        <v>-66967.52314534648</v>
      </c>
      <c r="M31" s="10">
        <f>IF(M5=$D$2,Consolidated!M28,'Orçamento 2026'!K45)</f>
        <v>-67266.981746072575</v>
      </c>
      <c r="N31" s="122">
        <f>IF(N5=$D$2,Consolidated!N28,'Orçamento 2026'!L45)</f>
        <v>-67567.779435499237</v>
      </c>
      <c r="O31" s="10">
        <f>IF(O5=$D$2,Consolidated!O28,'Orçamento 2026'!M45)</f>
        <v>-67869.922201627953</v>
      </c>
      <c r="P31" s="10">
        <f>IF(P5=$D$2,Consolidated!P28,'Orçamento 2026'!N45)</f>
        <v>-68173.41605923677</v>
      </c>
      <c r="Q31" s="11">
        <f t="shared" si="2"/>
        <v>-816497.74965091771</v>
      </c>
      <c r="R31" s="230">
        <f>Q31/$Q$10</f>
        <v>-0.25113203235580678</v>
      </c>
      <c r="T31" s="221" t="s">
        <v>15</v>
      </c>
      <c r="U31" s="11">
        <f t="shared" si="1"/>
        <v>-204124.43741272943</v>
      </c>
    </row>
    <row r="32" spans="4:27">
      <c r="D32" s="219" t="s">
        <v>516</v>
      </c>
      <c r="E32" s="123">
        <f>CNS!B25+CRR!B24</f>
        <v>-25338.149999999998</v>
      </c>
      <c r="F32" s="6">
        <f>CNS!C25+CRR!C24</f>
        <v>-35150.709999999992</v>
      </c>
      <c r="G32" s="6">
        <f>CNS!D25+CRR!D24</f>
        <v>-27030.509999999995</v>
      </c>
      <c r="H32" s="123">
        <f>CNS!E25+CRR!E24</f>
        <v>-28209.129999999997</v>
      </c>
      <c r="I32" s="6">
        <f>IF(I5=$D$2,Consolidated!I29,0)</f>
        <v>-32604.229999999996</v>
      </c>
      <c r="J32" s="6">
        <f>IF(J5=$D$2,Consolidated!J29,0)</f>
        <v>0</v>
      </c>
      <c r="K32" s="123">
        <f>IF(K5=$D$2,Consolidated!K29,0)</f>
        <v>0</v>
      </c>
      <c r="L32" s="6">
        <f>IF(L5=$D$2,Consolidated!L29,0)</f>
        <v>0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-148332.72999999998</v>
      </c>
      <c r="R32" s="230">
        <f>Q32/$Q$10</f>
        <v>-4.5623028312951674E-2</v>
      </c>
      <c r="T32" s="219" t="s">
        <v>516</v>
      </c>
      <c r="U32" s="9">
        <f t="shared" si="1"/>
        <v>-37083.182499999995</v>
      </c>
    </row>
    <row r="33" spans="4:21">
      <c r="D33" s="219" t="s">
        <v>515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-13097.35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0</v>
      </c>
      <c r="K33" s="123">
        <f>IF(K5=$D$2,Consolidated!K30,0)</f>
        <v>0</v>
      </c>
      <c r="L33" s="6">
        <f>IF(L5=$D$2,Consolidated!L30,0)</f>
        <v>0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-58736.939999999995</v>
      </c>
      <c r="R33" s="230">
        <f t="shared" ref="R33:R36" si="6">Q33/$Q$10</f>
        <v>-1.8065851526066726E-2</v>
      </c>
      <c r="T33" s="219" t="s">
        <v>515</v>
      </c>
      <c r="U33" s="9">
        <f t="shared" si="1"/>
        <v>-14684.234999999999</v>
      </c>
    </row>
    <row r="34" spans="4:21">
      <c r="D34" s="219" t="s">
        <v>514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-37735.460000000006</v>
      </c>
      <c r="J34" s="6">
        <f>IF(J5=$D$2,Consolidated!J31,0)</f>
        <v>0</v>
      </c>
      <c r="K34" s="123">
        <f>IF(K5=$D$2,Consolidated!K31,0)</f>
        <v>0</v>
      </c>
      <c r="L34" s="6">
        <f>IF(L5=$D$2,Consolidated!L31,0)</f>
        <v>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-130020.19000000002</v>
      </c>
      <c r="R34" s="230">
        <f t="shared" si="6"/>
        <v>-3.9990599577216422E-2</v>
      </c>
      <c r="T34" s="219" t="s">
        <v>514</v>
      </c>
      <c r="U34" s="9">
        <f t="shared" si="1"/>
        <v>-32505.047500000004</v>
      </c>
    </row>
    <row r="35" spans="4:21">
      <c r="D35" s="219" t="s">
        <v>513</v>
      </c>
      <c r="E35" s="123">
        <f>CNS!B28+CRR!B27</f>
        <v>-1119.18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-1119.18</v>
      </c>
      <c r="R35" s="230">
        <f t="shared" si="6"/>
        <v>-3.4422868659728209E-4</v>
      </c>
      <c r="T35" s="219" t="s">
        <v>513</v>
      </c>
      <c r="U35" s="9">
        <f t="shared" si="1"/>
        <v>-279.79500000000002</v>
      </c>
    </row>
    <row r="36" spans="4:21">
      <c r="D36" s="219" t="s">
        <v>512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0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-7401.09</v>
      </c>
      <c r="R36" s="230">
        <f t="shared" si="6"/>
        <v>-2.2763697439985332E-3</v>
      </c>
      <c r="T36" s="219" t="s">
        <v>512</v>
      </c>
      <c r="U36" s="9">
        <f t="shared" si="1"/>
        <v>-1850.2725</v>
      </c>
    </row>
    <row r="37" spans="4:21">
      <c r="D37" s="218" t="s">
        <v>16</v>
      </c>
      <c r="E37" s="212">
        <f>CNS!B30+CRR!B29</f>
        <v>30758.360000000048</v>
      </c>
      <c r="F37" s="208">
        <f>CNS!C30+CRR!C29</f>
        <v>49534.050000000047</v>
      </c>
      <c r="G37" s="208">
        <f>CNS!D30+CRR!D29</f>
        <v>69573.820000000109</v>
      </c>
      <c r="H37" s="212">
        <f>CNS!E30+CRR!E29</f>
        <v>37599.060000000129</v>
      </c>
      <c r="I37" s="208">
        <f>I30+I31</f>
        <v>65956.470000000059</v>
      </c>
      <c r="J37" s="208">
        <f t="shared" ref="J37:P37" si="7">J30+J31</f>
        <v>76872.198198389859</v>
      </c>
      <c r="K37" s="212">
        <f t="shared" si="7"/>
        <v>25904.640434776535</v>
      </c>
      <c r="L37" s="208">
        <f t="shared" si="7"/>
        <v>63838.479085742045</v>
      </c>
      <c r="M37" s="208">
        <f t="shared" si="7"/>
        <v>65225.764919637717</v>
      </c>
      <c r="N37" s="212">
        <f t="shared" si="7"/>
        <v>19111.171112389755</v>
      </c>
      <c r="O37" s="208">
        <f t="shared" si="7"/>
        <v>68098.19269717703</v>
      </c>
      <c r="P37" s="208">
        <f t="shared" si="7"/>
        <v>69584.685527544323</v>
      </c>
      <c r="Q37" s="215">
        <f t="shared" si="2"/>
        <v>642056.89197565767</v>
      </c>
      <c r="R37" s="12">
        <f>Q37/$Q$10</f>
        <v>0.19747886903403711</v>
      </c>
      <c r="T37" s="330" t="s">
        <v>16</v>
      </c>
      <c r="U37" s="215">
        <f t="shared" si="1"/>
        <v>160514.22299391442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-23332.250000000004</v>
      </c>
      <c r="G38" s="10">
        <f>CNS!D31+CRR!D30</f>
        <v>-25476.399999999987</v>
      </c>
      <c r="H38" s="122">
        <f>CNS!E31+CRR!E30</f>
        <v>-21131.769999999997</v>
      </c>
      <c r="I38" s="10">
        <f>IF(I5=$D$2,Consolidated!I35,'Orçamento 2026'!G47)</f>
        <v>-19711.419999999998</v>
      </c>
      <c r="J38" s="10">
        <f>IF(J5=$D$2,Consolidated!J35,'Orçamento 2026'!H47)</f>
        <v>-23882.364486584276</v>
      </c>
      <c r="K38" s="122">
        <f>IF(K5=$D$2,Consolidated!K35,'Orçamento 2026'!I47)</f>
        <v>-23989.159229995359</v>
      </c>
      <c r="L38" s="10">
        <f>IF(L5=$D$2,Consolidated!L35,'Orçamento 2026'!J47)</f>
        <v>-24096.431527344906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-282569.37034811132</v>
      </c>
      <c r="R38" s="230">
        <f t="shared" ref="R38:R55" si="8">Q38/$Q$10</f>
        <v>-8.6910490919737071E-2</v>
      </c>
      <c r="T38" s="221" t="s">
        <v>17</v>
      </c>
      <c r="U38" s="11">
        <f t="shared" si="1"/>
        <v>-70642.34258702783</v>
      </c>
    </row>
    <row r="39" spans="4:21">
      <c r="D39" s="219" t="s">
        <v>511</v>
      </c>
      <c r="E39" s="123">
        <f>CNS!B32+CRR!B31</f>
        <v>-10767.65</v>
      </c>
      <c r="F39" s="6">
        <f>CNS!C32+CRR!C31</f>
        <v>-7850.2999999999993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-8184.48</v>
      </c>
      <c r="J39" s="6">
        <f>IF(J5=$D$2,Consolidated!J36,0)</f>
        <v>0</v>
      </c>
      <c r="K39" s="123">
        <f>IF(K5=$D$2,Consolidated!K36,0)</f>
        <v>0</v>
      </c>
      <c r="L39" s="6">
        <f>IF(L5=$D$2,Consolidated!L36,0)</f>
        <v>0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-43308.479999999996</v>
      </c>
      <c r="R39" s="230">
        <f t="shared" si="8"/>
        <v>-1.3320485702858036E-2</v>
      </c>
      <c r="T39" s="219" t="s">
        <v>511</v>
      </c>
      <c r="U39" s="9">
        <f t="shared" si="1"/>
        <v>-10827.119999999999</v>
      </c>
    </row>
    <row r="40" spans="4:21">
      <c r="D40" s="219" t="s">
        <v>510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510</v>
      </c>
      <c r="U40" s="9">
        <f t="shared" si="1"/>
        <v>0</v>
      </c>
    </row>
    <row r="41" spans="4:21">
      <c r="D41" s="219" t="s">
        <v>509</v>
      </c>
      <c r="E41" s="123">
        <f>CNS!B34+CRR!B33</f>
        <v>-4432.6099999999997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0</v>
      </c>
      <c r="K41" s="123">
        <f>IF(K5=$D$2,Consolidated!K38,0)</f>
        <v>0</v>
      </c>
      <c r="L41" s="6">
        <f>IF(L5=$D$2,Consolidated!L38,0)</f>
        <v>0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-22904.369999999995</v>
      </c>
      <c r="R41" s="230">
        <f t="shared" si="8"/>
        <v>-7.044748121337218E-3</v>
      </c>
      <c r="T41" s="219" t="s">
        <v>509</v>
      </c>
      <c r="U41" s="9">
        <f t="shared" si="1"/>
        <v>-5726.0924999999988</v>
      </c>
    </row>
    <row r="42" spans="4:21">
      <c r="D42" s="219" t="s">
        <v>508</v>
      </c>
      <c r="E42" s="123">
        <f>CNS!B35+CRR!B34</f>
        <v>-2598.88</v>
      </c>
      <c r="F42" s="6">
        <f>CNS!C35+CRR!C34</f>
        <v>-3404.37</v>
      </c>
      <c r="G42" s="6">
        <f>CNS!D35+CRR!D34</f>
        <v>-5667.7599999999975</v>
      </c>
      <c r="H42" s="123">
        <f>CNS!E35+CRR!E34</f>
        <v>-3002.4900000000002</v>
      </c>
      <c r="I42" s="6">
        <f>IF(I5=$D$2,Consolidated!I39,0)</f>
        <v>-1595.19</v>
      </c>
      <c r="J42" s="6">
        <f>IF(J5=$D$2,Consolidated!J39,0)</f>
        <v>0</v>
      </c>
      <c r="K42" s="123">
        <f>IF(K5=$D$2,Consolidated!K39,0)</f>
        <v>0</v>
      </c>
      <c r="L42" s="6">
        <f>IF(L5=$D$2,Consolidated!L39,0)</f>
        <v>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-16268.689999999999</v>
      </c>
      <c r="R42" s="230">
        <f t="shared" si="8"/>
        <v>-5.0037972366896626E-3</v>
      </c>
      <c r="T42" s="219" t="s">
        <v>508</v>
      </c>
      <c r="U42" s="9">
        <f t="shared" si="1"/>
        <v>-4067.1724999999997</v>
      </c>
    </row>
    <row r="43" spans="4:21">
      <c r="D43" s="219" t="s">
        <v>507</v>
      </c>
      <c r="E43" s="123">
        <f>CNS!B36+CRR!B35</f>
        <v>-2058.7799999999997</v>
      </c>
      <c r="F43" s="6">
        <f>CNS!C36+CRR!C35</f>
        <v>-3995.8399999999992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</v>
      </c>
      <c r="J43" s="6">
        <f>IF(J5=$D$2,Consolidated!J40,0)</f>
        <v>0</v>
      </c>
      <c r="K43" s="123">
        <f>IF(K5=$D$2,Consolidated!K40,0)</f>
        <v>0</v>
      </c>
      <c r="L43" s="6">
        <f>IF(L5=$D$2,Consolidated!L40,0)</f>
        <v>0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-13794.31</v>
      </c>
      <c r="R43" s="230">
        <f t="shared" si="8"/>
        <v>-4.2427466661446363E-3</v>
      </c>
      <c r="T43" s="219" t="s">
        <v>507</v>
      </c>
      <c r="U43" s="9">
        <f t="shared" si="1"/>
        <v>-3448.5774999999999</v>
      </c>
    </row>
    <row r="44" spans="4:21">
      <c r="D44" s="219" t="s">
        <v>506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0</v>
      </c>
      <c r="K44" s="123">
        <f>IF(K5=$D$2,Consolidated!K41,0)</f>
        <v>0</v>
      </c>
      <c r="L44" s="6">
        <f>IF(L5=$D$2,Consolidated!L41,0)</f>
        <v>0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-12323.19</v>
      </c>
      <c r="R44" s="230">
        <f t="shared" si="8"/>
        <v>-3.7902710094790478E-3</v>
      </c>
      <c r="T44" s="219" t="s">
        <v>506</v>
      </c>
      <c r="U44" s="9">
        <f t="shared" si="1"/>
        <v>-3080.7975000000001</v>
      </c>
    </row>
    <row r="45" spans="4:21">
      <c r="D45" s="219" t="s">
        <v>505</v>
      </c>
      <c r="E45" s="123">
        <f>CNS!B38+CRR!B37</f>
        <v>-906.8599999999999</v>
      </c>
      <c r="F45" s="6">
        <f>CNS!C38+CRR!C37</f>
        <v>-906.86</v>
      </c>
      <c r="G45" s="6">
        <f>CNS!D38+CRR!D37</f>
        <v>-906.8599999999999</v>
      </c>
      <c r="H45" s="123">
        <f>CNS!E38+CRR!E37</f>
        <v>-906.8599999999999</v>
      </c>
      <c r="I45" s="6">
        <f>IF(I5=$D$2,Consolidated!I42,0)</f>
        <v>-906.86</v>
      </c>
      <c r="J45" s="6">
        <f>IF(J5=$D$2,Consolidated!J42,0)</f>
        <v>0</v>
      </c>
      <c r="K45" s="123">
        <f>IF(K5=$D$2,Consolidated!K42,0)</f>
        <v>0</v>
      </c>
      <c r="L45" s="6">
        <f>IF(L5=$D$2,Consolidated!L42,0)</f>
        <v>0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-4534.2999999999993</v>
      </c>
      <c r="R45" s="230">
        <f t="shared" si="8"/>
        <v>-1.3946247553012524E-3</v>
      </c>
      <c r="T45" s="219" t="s">
        <v>505</v>
      </c>
      <c r="U45" s="9">
        <f t="shared" si="1"/>
        <v>-1133.5749999999998</v>
      </c>
    </row>
    <row r="46" spans="4:21" hidden="1" outlineLevel="1">
      <c r="D46" s="219" t="s">
        <v>504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504</v>
      </c>
      <c r="U46" s="9">
        <f t="shared" si="1"/>
        <v>0</v>
      </c>
    </row>
    <row r="47" spans="4:21" hidden="1" outlineLevel="1">
      <c r="D47" s="219" t="s">
        <v>503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503</v>
      </c>
      <c r="U47" s="9">
        <f t="shared" si="1"/>
        <v>0</v>
      </c>
    </row>
    <row r="48" spans="4:21" hidden="1" outlineLevel="1">
      <c r="D48" s="219" t="s">
        <v>502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502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7276.8600000000515</v>
      </c>
      <c r="F49" s="208">
        <f>CNS!C42+CRR!C41</f>
        <v>26201.800000000043</v>
      </c>
      <c r="G49" s="208">
        <f>CNS!D42+CRR!D41</f>
        <v>44097.420000000129</v>
      </c>
      <c r="H49" s="212">
        <f>CNS!E42+CRR!E41</f>
        <v>16467.290000000132</v>
      </c>
      <c r="I49" s="208">
        <f>I37+I38</f>
        <v>46245.050000000061</v>
      </c>
      <c r="J49" s="208">
        <f t="shared" ref="J49:P49" si="9">J37+J38</f>
        <v>52989.833711805579</v>
      </c>
      <c r="K49" s="212">
        <f>K37+K38</f>
        <v>1915.4812047811756</v>
      </c>
      <c r="L49" s="208">
        <f t="shared" si="9"/>
        <v>39742.047558397142</v>
      </c>
      <c r="M49" s="208">
        <f t="shared" si="9"/>
        <v>41021.581405527388</v>
      </c>
      <c r="N49" s="212">
        <f t="shared" si="9"/>
        <v>-5201.2462229285375</v>
      </c>
      <c r="O49" s="208">
        <f t="shared" si="9"/>
        <v>43677.057551589707</v>
      </c>
      <c r="P49" s="208">
        <f t="shared" si="9"/>
        <v>45054.346418373512</v>
      </c>
      <c r="Q49" s="215">
        <f t="shared" si="2"/>
        <v>359487.5216275464</v>
      </c>
      <c r="R49" s="12">
        <f>Q49/$Q$10</f>
        <v>0.11056837811430005</v>
      </c>
      <c r="S49" s="12">
        <f>Q49/$Q$30</f>
        <v>0.2464683264979686</v>
      </c>
      <c r="T49" s="330" t="s">
        <v>18</v>
      </c>
      <c r="U49" s="215">
        <f t="shared" si="1"/>
        <v>89871.880406886601</v>
      </c>
    </row>
    <row r="50" spans="4:21">
      <c r="D50" s="221" t="s">
        <v>19</v>
      </c>
      <c r="E50" s="122">
        <f>CNS!B43+CRR!B42</f>
        <v>-1262.8599999999981</v>
      </c>
      <c r="F50" s="10">
        <f>CNS!C43+CRR!C42</f>
        <v>-973.19999999999879</v>
      </c>
      <c r="G50" s="10">
        <f>CNS!D43+CRR!D42</f>
        <v>-337.74999999999795</v>
      </c>
      <c r="H50" s="122">
        <f>CNS!E43+CRR!E42</f>
        <v>-751.95999999999879</v>
      </c>
      <c r="I50" s="10">
        <f>IF(I5=$D$2,Consolidated!I47,'Orçamento 2026'!G49)</f>
        <v>804.12999999999988</v>
      </c>
      <c r="J50" s="10">
        <f>IF(J5=$D$2,Consolidated!J47,'Orçamento 2026'!H49)</f>
        <v>-1122.2252194376549</v>
      </c>
      <c r="K50" s="122">
        <f>IF(K5=$D$2,Consolidated!K47,'Orçamento 2026'!I49)</f>
        <v>-1140.230059826408</v>
      </c>
      <c r="L50" s="10">
        <f>IF(L5=$D$2,Consolidated!L47,'Orçamento 2026'!J49)</f>
        <v>-1006.5154951729165</v>
      </c>
      <c r="M50" s="10">
        <f>IF(M5=$D$2,Consolidated!M47,'Orçamento 2026'!K49)</f>
        <v>-1022.2061410763749</v>
      </c>
      <c r="N50" s="122">
        <f>IF(N5=$D$2,Consolidated!N47,'Orçamento 2026'!L49)</f>
        <v>-1038.2105998979023</v>
      </c>
      <c r="O50" s="10">
        <f>IF(O5=$D$2,Consolidated!O47,'Orçamento 2026'!M49)</f>
        <v>-1054.5351478958605</v>
      </c>
      <c r="P50" s="10">
        <f>IF(P5=$D$2,Consolidated!P47,'Orçamento 2026'!N49)</f>
        <v>-1071.1861868537776</v>
      </c>
      <c r="Q50" s="11">
        <f t="shared" si="2"/>
        <v>-9976.7488501608896</v>
      </c>
      <c r="R50" s="230">
        <f t="shared" si="8"/>
        <v>-3.0685708761788335E-3</v>
      </c>
      <c r="T50" s="221" t="s">
        <v>19</v>
      </c>
      <c r="U50" s="11">
        <f t="shared" si="1"/>
        <v>-2494.1872125402224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0</v>
      </c>
      <c r="J51" s="10">
        <f>IF(J5=$D$2,Consolidated!J48,'Orçamento 2026'!H50)</f>
        <v>0</v>
      </c>
      <c r="K51" s="122">
        <f>IF(K5=$D$2,Consolidated!K48,'Orçamento 2026'!I50)</f>
        <v>0</v>
      </c>
      <c r="L51" s="10">
        <f>IF(L5=$D$2,Consolidated!L48,'Orçamento 2026'!J50)</f>
        <v>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14.57</v>
      </c>
      <c r="R51" s="230">
        <f t="shared" si="8"/>
        <v>4.4813273680037167E-6</v>
      </c>
      <c r="T51" s="221" t="s">
        <v>20</v>
      </c>
      <c r="U51" s="11">
        <f t="shared" si="1"/>
        <v>3.6425000000000001</v>
      </c>
    </row>
    <row r="52" spans="4:21">
      <c r="D52" s="218" t="s">
        <v>21</v>
      </c>
      <c r="E52" s="212">
        <f>CNS!B45+CRR!B44</f>
        <v>6022.6300000000538</v>
      </c>
      <c r="F52" s="208">
        <f>CNS!C45+CRR!C44</f>
        <v>25230.490000000045</v>
      </c>
      <c r="G52" s="208">
        <f>CNS!D45+CRR!D44</f>
        <v>43760.270000000128</v>
      </c>
      <c r="H52" s="212">
        <f>CNS!E45+CRR!E44</f>
        <v>15718.780000000135</v>
      </c>
      <c r="I52" s="208">
        <f>I49+I50+I51</f>
        <v>47049.180000000058</v>
      </c>
      <c r="J52" s="208">
        <f t="shared" ref="J52:P52" si="10">J49+J50+J51</f>
        <v>51867.608492367923</v>
      </c>
      <c r="K52" s="212">
        <f t="shared" si="10"/>
        <v>775.2511449547676</v>
      </c>
      <c r="L52" s="208">
        <f t="shared" si="10"/>
        <v>38735.532063224222</v>
      </c>
      <c r="M52" s="208">
        <f t="shared" si="10"/>
        <v>39999.37526445101</v>
      </c>
      <c r="N52" s="212">
        <f t="shared" si="10"/>
        <v>-6239.4568228264397</v>
      </c>
      <c r="O52" s="208">
        <f t="shared" si="10"/>
        <v>42622.522403693845</v>
      </c>
      <c r="P52" s="208">
        <f t="shared" si="10"/>
        <v>43983.160231519738</v>
      </c>
      <c r="Q52" s="215">
        <f t="shared" si="2"/>
        <v>349525.34277738549</v>
      </c>
      <c r="R52" s="12">
        <f>Q52/$Q$10</f>
        <v>0.10750428856548921</v>
      </c>
      <c r="S52" s="12">
        <f>Q52/$Q$30</f>
        <v>0.2396381546512347</v>
      </c>
      <c r="T52" s="330" t="s">
        <v>21</v>
      </c>
      <c r="U52" s="215">
        <f t="shared" si="1"/>
        <v>87381.335694346373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-11019.493182567334</v>
      </c>
      <c r="K53" s="122">
        <f>IF(K5=$D$2,Consolidated!K50,'Orçamento 2026'!I52)</f>
        <v>-11196.288546350461</v>
      </c>
      <c r="L53" s="10">
        <f>IF(L5=$D$2,Consolidated!L50,'Orçamento 2026'!J52)</f>
        <v>-9883.3018943952848</v>
      </c>
      <c r="M53" s="10">
        <f>IF(M5=$D$2,Consolidated!M50,'Orçamento 2026'!K52)</f>
        <v>-10037.37343241497</v>
      </c>
      <c r="N53" s="122">
        <f>IF(N5=$D$2,Consolidated!N50,'Orçamento 2026'!L52)</f>
        <v>-10194.526401195048</v>
      </c>
      <c r="O53" s="10">
        <f>IF(O5=$D$2,Consolidated!O50,'Orçamento 2026'!M52)</f>
        <v>-10354.822429350726</v>
      </c>
      <c r="P53" s="10">
        <f>IF(P5=$D$2,Consolidated!P50,'Orçamento 2026'!N52)</f>
        <v>-10518.324378069519</v>
      </c>
      <c r="Q53" s="11">
        <f t="shared" si="2"/>
        <v>-122206.42026434335</v>
      </c>
      <c r="R53" s="230">
        <f t="shared" si="8"/>
        <v>-3.7587301007300331E-2</v>
      </c>
      <c r="T53" s="221" t="s">
        <v>22</v>
      </c>
      <c r="U53" s="11">
        <f t="shared" si="1"/>
        <v>-30551.605066085838</v>
      </c>
    </row>
    <row r="54" spans="4:21">
      <c r="D54" s="222" t="s">
        <v>537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-2.5743180373862396E-4</v>
      </c>
      <c r="T54" s="331" t="s">
        <v>537</v>
      </c>
      <c r="U54" s="9">
        <f t="shared" si="1"/>
        <v>-209.245</v>
      </c>
    </row>
    <row r="55" spans="4:21">
      <c r="D55" s="222" t="s">
        <v>538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0</v>
      </c>
      <c r="K55" s="123">
        <f>IF(K5=$D$2,Consolidated!K52,0)</f>
        <v>0</v>
      </c>
      <c r="L55" s="6">
        <f>IF(L5=$D$2,Consolidated!L52,0)</f>
        <v>0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-48165.31</v>
      </c>
      <c r="R55" s="230">
        <f t="shared" si="8"/>
        <v>-1.4814311728989917E-2</v>
      </c>
      <c r="T55" s="331" t="s">
        <v>538</v>
      </c>
      <c r="U55" s="9">
        <f t="shared" si="1"/>
        <v>-12041.327499999999</v>
      </c>
    </row>
    <row r="56" spans="4:21">
      <c r="D56" s="223" t="s">
        <v>23</v>
      </c>
      <c r="E56" s="213">
        <f>CNS!B49+CRR!B48</f>
        <v>-4213.9399999999459</v>
      </c>
      <c r="F56" s="211">
        <f>CNS!C49+CRR!C48</f>
        <v>15111.240000000045</v>
      </c>
      <c r="G56" s="211">
        <f>CNS!D49+CRR!D48</f>
        <v>35020.690000000126</v>
      </c>
      <c r="H56" s="213">
        <f>CNS!E49+CRR!E48</f>
        <v>5081.9200000001347</v>
      </c>
      <c r="I56" s="211">
        <f>I52+I53</f>
        <v>37779.15000000006</v>
      </c>
      <c r="J56" s="211">
        <f t="shared" ref="J56:P56" si="11">J52+J53</f>
        <v>40848.115309800589</v>
      </c>
      <c r="K56" s="213">
        <f t="shared" si="11"/>
        <v>-10421.037401395693</v>
      </c>
      <c r="L56" s="211">
        <f t="shared" si="11"/>
        <v>28852.230168828937</v>
      </c>
      <c r="M56" s="211">
        <f t="shared" si="11"/>
        <v>29962.00183203604</v>
      </c>
      <c r="N56" s="213">
        <f t="shared" si="11"/>
        <v>-16433.983224021489</v>
      </c>
      <c r="O56" s="211">
        <f t="shared" si="11"/>
        <v>32267.699974343119</v>
      </c>
      <c r="P56" s="211">
        <f t="shared" si="11"/>
        <v>33464.835853450219</v>
      </c>
      <c r="Q56" s="216">
        <f>SUM(E56:P56)</f>
        <v>227318.92251304217</v>
      </c>
      <c r="R56" s="12">
        <f>Q56/$Q$10</f>
        <v>6.9916987558188884E-2</v>
      </c>
      <c r="S56" s="12">
        <f>Q56/$Q$30</f>
        <v>0.15585218134819881</v>
      </c>
      <c r="T56" s="332" t="s">
        <v>23</v>
      </c>
      <c r="U56" s="216">
        <f t="shared" si="1"/>
        <v>56829.730628260542</v>
      </c>
    </row>
    <row r="61" spans="4:21">
      <c r="D61" s="13" t="s">
        <v>27</v>
      </c>
      <c r="E61" s="14">
        <f>E49+(-E24)</f>
        <v>109390.36000000004</v>
      </c>
      <c r="F61" s="14">
        <f t="shared" ref="F61:P61" si="12">F49+(-F24)</f>
        <v>48003.240000000049</v>
      </c>
      <c r="G61" s="14">
        <f t="shared" si="12"/>
        <v>71441.860000000132</v>
      </c>
      <c r="H61" s="14">
        <f>H49+(-H24)</f>
        <v>107981.45000000013</v>
      </c>
      <c r="I61" s="14">
        <f t="shared" si="12"/>
        <v>69509.290000000066</v>
      </c>
      <c r="J61" s="14">
        <f t="shared" si="12"/>
        <v>92267.716392123504</v>
      </c>
      <c r="K61" s="14">
        <f t="shared" si="12"/>
        <v>94429.813123290995</v>
      </c>
      <c r="L61" s="14">
        <f t="shared" si="12"/>
        <v>74970.089889449227</v>
      </c>
      <c r="M61" s="14">
        <f t="shared" si="12"/>
        <v>76798.79634320052</v>
      </c>
      <c r="N61" s="14">
        <f t="shared" si="12"/>
        <v>78670.400214633526</v>
      </c>
      <c r="O61" s="14">
        <f t="shared" si="12"/>
        <v>80585.787727944829</v>
      </c>
      <c r="P61" s="14">
        <f t="shared" si="12"/>
        <v>82545.862958255733</v>
      </c>
      <c r="Q61" s="14">
        <f>Q49+(-Q24)</f>
        <v>986594.66664889874</v>
      </c>
      <c r="R61" s="367">
        <f>Q49/Q61</f>
        <v>0.36437205042734933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414083.5953098007</v>
      </c>
      <c r="K62" s="14">
        <f>IF(K5=$D$2,Caixa!L6,Projeção!J62+'Orçamento 2026'!I53-50000)</f>
        <v>353662.55790840503</v>
      </c>
      <c r="L62" s="14">
        <f>IF(L5=$D$2,Caixa!M6,Projeção!K62+'Orçamento 2026'!J53-50000)</f>
        <v>332514.78807723394</v>
      </c>
      <c r="M62" s="14">
        <f>IF(M5=$D$2,Caixa!N6,Projeção!L62+'Orçamento 2026'!K53)</f>
        <v>362476.78990927001</v>
      </c>
      <c r="N62" s="14">
        <f>IF(N5=$D$2,Caixa!O6,Projeção!M62+'Orçamento 2026'!L53)</f>
        <v>346042.80668524851</v>
      </c>
      <c r="O62" s="14">
        <f>IF(O5=$D$2,Caixa!P6,Projeção!N62+'Orçamento 2026'!M53)</f>
        <v>378310.50665959163</v>
      </c>
      <c r="P62" s="14">
        <f>IF(P5=$D$2,Caixa!Q6,Projeção!O62+'Orçamento 2026'!N53)</f>
        <v>411775.34251304186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347025.9220208989</v>
      </c>
      <c r="G63" s="14">
        <f>'Orçamento 2026'!E129</f>
        <v>394205.32393657457</v>
      </c>
      <c r="H63" s="14">
        <f>'Orçamento 2026'!F129</f>
        <v>391965.86258632777</v>
      </c>
      <c r="I63" s="14">
        <f>'Orçamento 2026'!G129</f>
        <v>440932.16990568576</v>
      </c>
      <c r="J63" s="14">
        <f>'Orçamento 2026'!H129</f>
        <v>431780.28521548636</v>
      </c>
      <c r="K63" s="14">
        <f>'Orçamento 2026'!I129</f>
        <v>371359.24781409069</v>
      </c>
      <c r="L63" s="14">
        <f>'Orçamento 2026'!J129</f>
        <v>350211.4779829196</v>
      </c>
      <c r="M63" s="14">
        <f>'Orçamento 2026'!K129</f>
        <v>380173.47981495562</v>
      </c>
      <c r="N63" s="14">
        <f>'Orçamento 2026'!L129</f>
        <v>363739.49659093411</v>
      </c>
      <c r="O63" s="14">
        <f>'Orçamento 2026'!M129</f>
        <v>396007.19656527723</v>
      </c>
      <c r="P63" s="14">
        <f>'Orçamento 2026'!N129</f>
        <v>429472.03241872747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-20374.012020898925</v>
      </c>
      <c r="G64" s="14">
        <f t="shared" si="13"/>
        <v>-35043.733936574543</v>
      </c>
      <c r="H64" s="14">
        <f t="shared" si="13"/>
        <v>-33158.902586327808</v>
      </c>
      <c r="I64" s="14">
        <f t="shared" si="13"/>
        <v>-17696.689905685664</v>
      </c>
      <c r="J64" s="14">
        <f t="shared" si="13"/>
        <v>-17696.689905685664</v>
      </c>
      <c r="K64" s="14">
        <f t="shared" si="13"/>
        <v>-17696.689905685664</v>
      </c>
      <c r="L64" s="14">
        <f t="shared" si="13"/>
        <v>-17696.689905685664</v>
      </c>
      <c r="M64" s="14">
        <f t="shared" si="13"/>
        <v>-17696.689905685605</v>
      </c>
      <c r="N64" s="14">
        <f t="shared" si="13"/>
        <v>-17696.689905685605</v>
      </c>
      <c r="O64" s="14">
        <f t="shared" si="13"/>
        <v>-17696.689905685605</v>
      </c>
      <c r="P64" s="14">
        <f t="shared" si="13"/>
        <v>-17696.689905685605</v>
      </c>
      <c r="Q64" s="14"/>
    </row>
    <row r="66" spans="4:28">
      <c r="D66" s="13" t="s">
        <v>31</v>
      </c>
      <c r="E66" s="18">
        <f>IF(E61&lt;&gt;0,E61/E10,"")</f>
        <v>0.3707567530871525</v>
      </c>
      <c r="F66" s="18">
        <f t="shared" ref="F66:P66" si="14">IF(F61&lt;&gt;0,F61/F10,"")</f>
        <v>0.20220915440154361</v>
      </c>
      <c r="G66" s="18">
        <f t="shared" si="14"/>
        <v>0.26057376162753731</v>
      </c>
      <c r="H66" s="18">
        <f t="shared" si="14"/>
        <v>0.35967365067483897</v>
      </c>
      <c r="I66" s="18">
        <f t="shared" si="14"/>
        <v>0.24766415328868127</v>
      </c>
      <c r="J66" s="18">
        <f t="shared" si="14"/>
        <v>0.32887415037191448</v>
      </c>
      <c r="K66" s="18">
        <f t="shared" si="14"/>
        <v>0.33126582590768489</v>
      </c>
      <c r="L66" s="18">
        <f t="shared" si="14"/>
        <v>0.29793913853882426</v>
      </c>
      <c r="M66" s="18">
        <f t="shared" si="14"/>
        <v>0.30052175684380844</v>
      </c>
      <c r="N66" s="18">
        <f t="shared" si="14"/>
        <v>0.30309996920613208</v>
      </c>
      <c r="O66" s="18">
        <f t="shared" si="14"/>
        <v>0.30567321682445425</v>
      </c>
      <c r="P66" s="18">
        <f t="shared" si="14"/>
        <v>0.30824095370648635</v>
      </c>
      <c r="Q66" s="18">
        <f>IF(Q61&lt;&gt;0,Q61/Q10,"")</f>
        <v>0.30344912016336401</v>
      </c>
    </row>
    <row r="67" spans="4:28">
      <c r="D67" s="13" t="s">
        <v>32</v>
      </c>
      <c r="E67" s="18">
        <f>IF(E37&lt;&gt;0,E37/E10,"")</f>
        <v>0.10424931121796986</v>
      </c>
      <c r="F67" s="18">
        <f t="shared" ref="F67:Q67" si="15">IF(F37&lt;&gt;0,F37/F10,"")</f>
        <v>0.20865754821099119</v>
      </c>
      <c r="G67" s="18">
        <f t="shared" si="15"/>
        <v>0.25376035825771032</v>
      </c>
      <c r="H67" s="18">
        <f t="shared" si="15"/>
        <v>0.12523809572979749</v>
      </c>
      <c r="I67" s="18">
        <f t="shared" si="15"/>
        <v>0.23500532513654371</v>
      </c>
      <c r="J67" s="18">
        <f t="shared" si="15"/>
        <v>0.27399918257730971</v>
      </c>
      <c r="K67" s="18">
        <f t="shared" si="15"/>
        <v>9.0875135983418412E-2</v>
      </c>
      <c r="L67" s="18">
        <f t="shared" si="15"/>
        <v>0.25370092916363807</v>
      </c>
      <c r="M67" s="18">
        <f t="shared" si="15"/>
        <v>0.25523526928122542</v>
      </c>
      <c r="N67" s="18">
        <f t="shared" si="15"/>
        <v>7.3631192416140412E-2</v>
      </c>
      <c r="O67" s="18">
        <f t="shared" si="15"/>
        <v>0.25830601410699305</v>
      </c>
      <c r="P67" s="18">
        <f t="shared" si="15"/>
        <v>0.25984160879416934</v>
      </c>
      <c r="Q67" s="18">
        <f t="shared" si="15"/>
        <v>0.19747886903403711</v>
      </c>
    </row>
    <row r="68" spans="4:28" s="209" customFormat="1">
      <c r="D68" s="13" t="s">
        <v>33</v>
      </c>
      <c r="E68" s="18">
        <f>IF(E52&lt;&gt;0,E52/E10,"")</f>
        <v>2.041250018598802E-2</v>
      </c>
      <c r="F68" s="18">
        <f t="shared" ref="F68:Q68" si="16">IF(F52&lt;&gt;0,F52/F10,"")</f>
        <v>0.10628107702806323</v>
      </c>
      <c r="G68" s="18">
        <f t="shared" si="16"/>
        <v>0.15960920059663461</v>
      </c>
      <c r="H68" s="18">
        <f t="shared" si="16"/>
        <v>5.2357427935582339E-2</v>
      </c>
      <c r="I68" s="18">
        <f t="shared" si="16"/>
        <v>0.1676379564174337</v>
      </c>
      <c r="J68" s="18">
        <f t="shared" si="16"/>
        <v>0.18487415037191446</v>
      </c>
      <c r="K68" s="18">
        <f t="shared" si="16"/>
        <v>2.7196306158523628E-3</v>
      </c>
      <c r="L68" s="18">
        <f t="shared" si="16"/>
        <v>0.15393913853882424</v>
      </c>
      <c r="M68" s="18">
        <f t="shared" si="16"/>
        <v>0.15652175684380837</v>
      </c>
      <c r="N68" s="18">
        <f t="shared" si="16"/>
        <v>-2.4039272276511252E-2</v>
      </c>
      <c r="O68" s="18">
        <f t="shared" si="16"/>
        <v>0.16167321682445424</v>
      </c>
      <c r="P68" s="18">
        <f t="shared" si="16"/>
        <v>0.16424095370648636</v>
      </c>
      <c r="Q68" s="18">
        <f t="shared" si="16"/>
        <v>0.10750428856548921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-1.4282307070788092E-2</v>
      </c>
      <c r="F69" s="18">
        <f t="shared" ref="F69:Q69" si="17">IF(F56&lt;&gt;0,F56/F10,"")</f>
        <v>6.365468377465329E-2</v>
      </c>
      <c r="G69" s="18">
        <f t="shared" si="17"/>
        <v>0.12773285757246378</v>
      </c>
      <c r="H69" s="18">
        <f t="shared" si="17"/>
        <v>1.6927284444110763E-2</v>
      </c>
      <c r="I69" s="18">
        <f t="shared" si="17"/>
        <v>0.13460849904690567</v>
      </c>
      <c r="J69" s="18">
        <f t="shared" si="17"/>
        <v>0.14559685383035506</v>
      </c>
      <c r="K69" s="18">
        <f t="shared" si="17"/>
        <v>-3.6557665925707035E-2</v>
      </c>
      <c r="L69" s="18">
        <f t="shared" si="17"/>
        <v>0.11466184199726485</v>
      </c>
      <c r="M69" s="18">
        <f t="shared" si="17"/>
        <v>0.11724446030224898</v>
      </c>
      <c r="N69" s="18">
        <f t="shared" si="17"/>
        <v>-6.3316568818070657E-2</v>
      </c>
      <c r="O69" s="18">
        <f t="shared" si="17"/>
        <v>0.12239592028289485</v>
      </c>
      <c r="P69" s="18">
        <f t="shared" si="17"/>
        <v>0.12496365716492698</v>
      </c>
      <c r="Q69" s="18">
        <f t="shared" si="17"/>
        <v>6.9916987558188884E-2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I12" zoomScale="70" zoomScaleNormal="70" workbookViewId="0">
      <selection activeCell="BE66" sqref="BE66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hidden="1" customWidth="1" outlineLevel="1"/>
    <col min="13" max="13" width="12.5" hidden="1" customWidth="1" outlineLevel="1"/>
    <col min="14" max="14" width="13" hidden="1" customWidth="1" outlineLevel="1"/>
    <col min="15" max="15" width="10.6640625" hidden="1" customWidth="1" outlineLevel="1"/>
    <col min="16" max="16" width="11.5" style="327" hidden="1" customWidth="1" outlineLevel="1"/>
    <col min="17" max="17" width="13" style="328" hidden="1" customWidth="1" outlineLevel="1"/>
    <col min="18" max="18" width="12.5" style="327" hidden="1" customWidth="1" outlineLevel="1"/>
    <col min="19" max="19" width="13" style="327" hidden="1" customWidth="1" outlineLevel="1"/>
    <col min="20" max="20" width="10.6640625" collapsed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606</v>
      </c>
      <c r="N3" s="16" t="s">
        <v>607</v>
      </c>
      <c r="P3" s="16"/>
      <c r="Q3" s="324" t="s">
        <v>608</v>
      </c>
      <c r="R3" s="16" t="s">
        <v>606</v>
      </c>
      <c r="S3" s="16" t="s">
        <v>607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88" t="s">
        <v>609</v>
      </c>
      <c r="Q5" s="391">
        <f>SUM(H4:H6)</f>
        <v>51025.550000000025</v>
      </c>
      <c r="R5" s="394">
        <f>IF(Q5&gt;=0,Q5,NA())</f>
        <v>51025.550000000025</v>
      </c>
      <c r="S5" s="394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89"/>
      <c r="Q6" s="392"/>
      <c r="R6" s="395"/>
      <c r="S6" s="395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390"/>
      <c r="Q7" s="393"/>
      <c r="R7" s="396"/>
      <c r="S7" s="396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88" t="s">
        <v>610</v>
      </c>
      <c r="Q8" s="391">
        <f>SUM(H7:H9)</f>
        <v>-128684.78999999996</v>
      </c>
      <c r="R8" s="394" t="e">
        <f>IF(Q8&gt;=0,Q8,NA())</f>
        <v>#N/A</v>
      </c>
      <c r="S8" s="394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89"/>
      <c r="Q9" s="392"/>
      <c r="R9" s="395"/>
      <c r="S9" s="395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390"/>
      <c r="Q10" s="393"/>
      <c r="R10" s="396"/>
      <c r="S10" s="396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88" t="s">
        <v>611</v>
      </c>
      <c r="Q11" s="391">
        <f t="shared" ref="Q11" si="6">SUM(H10:H12)</f>
        <v>63263.910000000018</v>
      </c>
      <c r="R11" s="394">
        <f t="shared" ref="R11" si="7">IF(Q11&gt;=0,Q11,NA())</f>
        <v>63263.910000000018</v>
      </c>
      <c r="S11" s="394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89"/>
      <c r="Q12" s="392"/>
      <c r="R12" s="395"/>
      <c r="S12" s="395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390"/>
      <c r="Q13" s="393"/>
      <c r="R13" s="396"/>
      <c r="S13" s="396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88" t="s">
        <v>612</v>
      </c>
      <c r="Q14" s="391">
        <f t="shared" ref="Q14" si="9">SUM(H13:H15)</f>
        <v>2032.5599999999977</v>
      </c>
      <c r="R14" s="394">
        <f t="shared" ref="R14" si="10">IF(Q14&gt;=0,Q14,NA())</f>
        <v>2032.5599999999977</v>
      </c>
      <c r="S14" s="394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89"/>
      <c r="Q15" s="392"/>
      <c r="R15" s="395"/>
      <c r="S15" s="395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390"/>
      <c r="Q16" s="393"/>
      <c r="R16" s="396"/>
      <c r="S16" s="396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613</v>
      </c>
      <c r="Q17" s="391">
        <f t="shared" ref="Q17" si="12">SUM(H16:H18)</f>
        <v>-13021.260000000017</v>
      </c>
      <c r="R17" s="394" t="e">
        <f t="shared" ref="R17" si="13">IF(Q17&gt;=0,Q17,NA())</f>
        <v>#N/A</v>
      </c>
      <c r="S17" s="394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2"/>
      <c r="R18" s="395"/>
      <c r="S18" s="395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3"/>
      <c r="R19" s="396"/>
      <c r="S19" s="396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614</v>
      </c>
      <c r="Q20" s="391">
        <f t="shared" ref="Q20" si="15">SUM(H19:H21)</f>
        <v>1864.0900000000547</v>
      </c>
      <c r="R20" s="394">
        <f t="shared" ref="R20" si="16">IF(Q20&gt;=0,Q20,NA())</f>
        <v>1864.0900000000547</v>
      </c>
      <c r="S20" s="394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2"/>
      <c r="R21" s="395"/>
      <c r="S21" s="395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3"/>
      <c r="R22" s="396"/>
      <c r="S22" s="396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615</v>
      </c>
      <c r="Q23" s="391">
        <f t="shared" ref="Q23" si="18">SUM(H22:H24)</f>
        <v>10423.430000000033</v>
      </c>
      <c r="R23" s="394">
        <f t="shared" ref="R23" si="19">IF(Q23&gt;=0,Q23,NA())</f>
        <v>10423.430000000033</v>
      </c>
      <c r="S23" s="394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2"/>
      <c r="R24" s="395"/>
      <c r="S24" s="395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3"/>
      <c r="R25" s="396"/>
      <c r="S25" s="396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616</v>
      </c>
      <c r="Q26" s="391">
        <f t="shared" ref="Q26" si="21">SUM(H25:H27)</f>
        <v>-31621.239999999965</v>
      </c>
      <c r="R26" s="394" t="e">
        <f t="shared" ref="R26" si="22">IF(Q26&gt;=0,Q26,NA())</f>
        <v>#N/A</v>
      </c>
      <c r="S26" s="394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2"/>
      <c r="R27" s="395"/>
      <c r="S27" s="395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3"/>
      <c r="R28" s="396"/>
      <c r="S28" s="396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617</v>
      </c>
      <c r="Q29" s="391">
        <f t="shared" ref="Q29" si="24">SUM(H28:H30)</f>
        <v>-2864.9200000000164</v>
      </c>
      <c r="R29" s="394" t="e">
        <f t="shared" ref="R29" si="25">IF(Q29&gt;=0,Q29,NA())</f>
        <v>#N/A</v>
      </c>
      <c r="S29" s="394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2"/>
      <c r="R30" s="395"/>
      <c r="S30" s="395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3"/>
      <c r="R31" s="396"/>
      <c r="S31" s="396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618</v>
      </c>
      <c r="Q32" s="391">
        <f t="shared" ref="Q32" si="27">SUM(H31:H33)</f>
        <v>16410.719999999972</v>
      </c>
      <c r="R32" s="394">
        <f t="shared" ref="R32" si="28">IF(Q32&gt;=0,Q32,NA())</f>
        <v>16410.719999999972</v>
      </c>
      <c r="S32" s="394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2"/>
      <c r="R33" s="395"/>
      <c r="S33" s="395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3"/>
      <c r="R34" s="396"/>
      <c r="S34" s="396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619</v>
      </c>
      <c r="Q35" s="391">
        <f t="shared" ref="Q35" si="30">SUM(H34:H36)</f>
        <v>48719.930000000044</v>
      </c>
      <c r="R35" s="394">
        <f t="shared" ref="R35" si="31">IF(Q35&gt;=0,Q35,NA())</f>
        <v>48719.930000000044</v>
      </c>
      <c r="S35" s="394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2"/>
      <c r="R36" s="395"/>
      <c r="S36" s="395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3"/>
      <c r="R37" s="396"/>
      <c r="S37" s="396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620</v>
      </c>
      <c r="Q38" s="391">
        <f t="shared" ref="Q38" si="33">SUM(H37:H39)</f>
        <v>57951.049999999974</v>
      </c>
      <c r="R38" s="394">
        <f t="shared" ref="R38" si="34">IF(Q38&gt;=0,Q38,NA())</f>
        <v>57951.049999999974</v>
      </c>
      <c r="S38" s="394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2"/>
      <c r="R39" s="395"/>
      <c r="S39" s="395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3"/>
      <c r="R40" s="396"/>
      <c r="S40" s="396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621</v>
      </c>
      <c r="Q41" s="391">
        <f t="shared" ref="Q41" si="37">SUM(H40:H42)</f>
        <v>-4982.5900000000365</v>
      </c>
      <c r="R41" s="394" t="e">
        <f t="shared" ref="R41" si="38">IF(Q41&gt;=0,Q41,NA())</f>
        <v>#N/A</v>
      </c>
      <c r="S41" s="394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2"/>
      <c r="R42" s="395"/>
      <c r="S42" s="395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3"/>
      <c r="R43" s="396"/>
      <c r="S43" s="396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622</v>
      </c>
      <c r="Q44" s="391">
        <f t="shared" ref="Q44" si="40">SUM(H43:H45)</f>
        <v>42552.479999999967</v>
      </c>
      <c r="R44" s="394">
        <f t="shared" ref="R44" si="41">IF(Q44&gt;=0,Q44,NA())</f>
        <v>42552.479999999967</v>
      </c>
      <c r="S44" s="394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2"/>
      <c r="R45" s="395"/>
      <c r="S45" s="395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3"/>
      <c r="R46" s="396"/>
      <c r="S46" s="396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623</v>
      </c>
      <c r="Q47" s="391">
        <f t="shared" ref="Q47" si="43">SUM(H46:H48)</f>
        <v>84772.810000000172</v>
      </c>
      <c r="R47" s="394">
        <f t="shared" ref="R47" si="44">IF(Q47&gt;=0,Q47,NA())</f>
        <v>84772.810000000172</v>
      </c>
      <c r="S47" s="394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2"/>
      <c r="R48" s="395"/>
      <c r="S48" s="395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3"/>
      <c r="R49" s="396"/>
      <c r="S49" s="396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624</v>
      </c>
      <c r="Q50" s="391">
        <f t="shared" ref="Q50" si="46">SUM(H49:H51)</f>
        <v>154229.81000000003</v>
      </c>
      <c r="R50" s="394">
        <f t="shared" ref="R50" si="47">IF(Q50&gt;=0,Q50,NA())</f>
        <v>154229.81000000003</v>
      </c>
      <c r="S50" s="394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2"/>
      <c r="R51" s="395"/>
      <c r="S51" s="395"/>
    </row>
    <row r="52" spans="3:19" ht="15" customHeight="1">
      <c r="C52" s="111"/>
      <c r="D52" s="107">
        <v>46023</v>
      </c>
      <c r="E52" s="5">
        <f>Consolidated!E7</f>
        <v>295046.17000000004</v>
      </c>
      <c r="F52" s="5">
        <f>Consolidated!E46</f>
        <v>7276.8600000000515</v>
      </c>
      <c r="G52" s="5">
        <f>Consolidated!E49</f>
        <v>6022.6300000000538</v>
      </c>
      <c r="H52" s="5">
        <f>Consolidated!E53</f>
        <v>-4213.9399999999459</v>
      </c>
      <c r="I52" s="3">
        <f t="shared" si="36"/>
        <v>347857.60000000033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-4213.9399999999459</v>
      </c>
      <c r="P52" s="326"/>
      <c r="Q52" s="393"/>
      <c r="R52" s="396"/>
      <c r="S52" s="396"/>
    </row>
    <row r="53" spans="3:19" ht="15" customHeight="1">
      <c r="D53" s="107">
        <v>46054</v>
      </c>
      <c r="E53" s="5">
        <f>Consolidated!F7</f>
        <v>237394.00000000003</v>
      </c>
      <c r="F53" s="5">
        <f>Consolidated!F46</f>
        <v>26201.800000000043</v>
      </c>
      <c r="G53" s="5">
        <f>Consolidated!F49</f>
        <v>25230.490000000045</v>
      </c>
      <c r="H53" s="5">
        <f>Consolidated!F53</f>
        <v>15111.240000000045</v>
      </c>
      <c r="I53" s="3">
        <f t="shared" si="36"/>
        <v>362968.84000000037</v>
      </c>
      <c r="J53" s="3">
        <f>Caixa!G6</f>
        <v>326651.90999999997</v>
      </c>
      <c r="L53" s="107">
        <f t="shared" si="0"/>
        <v>46054</v>
      </c>
      <c r="M53" s="5">
        <f t="shared" si="4"/>
        <v>15111.240000000045</v>
      </c>
      <c r="N53" s="5" t="e">
        <f t="shared" si="5"/>
        <v>#N/A</v>
      </c>
      <c r="P53" s="325" t="s">
        <v>625</v>
      </c>
      <c r="Q53" s="391">
        <f t="shared" ref="Q53" si="49">SUM(H52:H54)</f>
        <v>45917.990000000224</v>
      </c>
      <c r="R53" s="394">
        <f t="shared" ref="R53" si="50">IF(Q53&gt;=0,Q53,NA())</f>
        <v>45917.990000000224</v>
      </c>
      <c r="S53" s="394" t="e">
        <f t="shared" ref="S53" si="51">IF(Q53&lt;0,Q53,NA())</f>
        <v>#N/A</v>
      </c>
    </row>
    <row r="54" spans="3:19" ht="15" customHeight="1">
      <c r="C54" s="111">
        <f>E54/E51-1</f>
        <v>-6.6195153795711947E-2</v>
      </c>
      <c r="D54" s="108">
        <v>46082</v>
      </c>
      <c r="E54" s="109">
        <f>Consolidated!G7</f>
        <v>274171.35000000009</v>
      </c>
      <c r="F54" s="109">
        <f>Consolidated!G46</f>
        <v>44097.420000000129</v>
      </c>
      <c r="G54" s="109">
        <f>Consolidated!G49</f>
        <v>43760.270000000128</v>
      </c>
      <c r="H54" s="109">
        <f>Consolidated!G53</f>
        <v>35020.690000000126</v>
      </c>
      <c r="I54" s="110">
        <f t="shared" si="36"/>
        <v>397989.53000000049</v>
      </c>
      <c r="J54" s="110">
        <f>Caixa!H6</f>
        <v>359161.59</v>
      </c>
      <c r="L54" s="108">
        <f t="shared" si="0"/>
        <v>46082</v>
      </c>
      <c r="M54" s="109">
        <f t="shared" si="4"/>
        <v>35020.690000000126</v>
      </c>
      <c r="N54" s="109" t="e">
        <f t="shared" si="5"/>
        <v>#N/A</v>
      </c>
      <c r="P54" s="325"/>
      <c r="Q54" s="392"/>
      <c r="R54" s="395"/>
      <c r="S54" s="395"/>
    </row>
    <row r="55" spans="3:19" ht="15" customHeight="1">
      <c r="D55" s="107">
        <v>46113</v>
      </c>
      <c r="E55" s="5">
        <f>Consolidated!H7</f>
        <v>300220.63000000012</v>
      </c>
      <c r="F55" s="5">
        <f>Consolidated!H46</f>
        <v>16467.290000000132</v>
      </c>
      <c r="G55" s="5">
        <f>Consolidated!H49</f>
        <v>15718.780000000135</v>
      </c>
      <c r="H55" s="5">
        <f>Consolidated!H53</f>
        <v>5081.9200000001347</v>
      </c>
      <c r="I55" s="3">
        <f t="shared" si="36"/>
        <v>403071.45000000065</v>
      </c>
      <c r="J55" s="3">
        <f>Caixa!I6</f>
        <v>358806.95999999996</v>
      </c>
      <c r="L55" s="107">
        <f t="shared" si="0"/>
        <v>46113</v>
      </c>
      <c r="M55" s="5">
        <f t="shared" si="4"/>
        <v>5081.9200000001347</v>
      </c>
      <c r="N55" s="5" t="e">
        <f t="shared" si="5"/>
        <v>#N/A</v>
      </c>
      <c r="P55" s="326"/>
      <c r="Q55" s="393"/>
      <c r="R55" s="396"/>
      <c r="S55" s="396"/>
    </row>
    <row r="56" spans="3:19" ht="15" customHeight="1">
      <c r="D56" s="107">
        <v>46143</v>
      </c>
      <c r="E56" s="5">
        <f>Consolidated!I7</f>
        <v>280659.47000000009</v>
      </c>
      <c r="F56" s="5">
        <f>Consolidated!I46</f>
        <v>46245.050000000025</v>
      </c>
      <c r="G56" s="5">
        <f>Consolidated!I49</f>
        <v>47049.180000000022</v>
      </c>
      <c r="H56" s="5">
        <f>Consolidated!I53</f>
        <v>37779.150000000023</v>
      </c>
      <c r="I56" s="3">
        <f t="shared" si="36"/>
        <v>440850.60000000068</v>
      </c>
      <c r="J56" s="3">
        <f>Caixa!J6</f>
        <v>423235.4800000001</v>
      </c>
      <c r="L56" s="107">
        <f t="shared" si="0"/>
        <v>46143</v>
      </c>
      <c r="M56" s="5">
        <f t="shared" si="4"/>
        <v>37779.150000000023</v>
      </c>
      <c r="N56" s="5" t="e">
        <f t="shared" si="5"/>
        <v>#N/A</v>
      </c>
      <c r="P56" s="325" t="s">
        <v>626</v>
      </c>
      <c r="Q56" s="391">
        <f t="shared" ref="Q56" si="52">SUM(H55:H57)</f>
        <v>42861.07000000016</v>
      </c>
      <c r="R56" s="394">
        <f t="shared" ref="R56" si="53">IF(Q56&gt;=0,Q56,NA())</f>
        <v>42861.07000000016</v>
      </c>
      <c r="S56" s="394" t="e">
        <f t="shared" ref="S56" si="54">IF(Q56&lt;0,Q56,NA())</f>
        <v>#N/A</v>
      </c>
    </row>
    <row r="57" spans="3:19" ht="15" customHeight="1">
      <c r="C57" s="111">
        <f>E57/E54-1</f>
        <v>-1</v>
      </c>
      <c r="D57" s="108">
        <v>46174</v>
      </c>
      <c r="E57" s="109">
        <f>Consolidated!J7</f>
        <v>0</v>
      </c>
      <c r="F57" s="109">
        <f>Consolidated!J46</f>
        <v>0</v>
      </c>
      <c r="G57" s="109">
        <f>Consolidated!J49</f>
        <v>0</v>
      </c>
      <c r="H57" s="109">
        <f>Consolidated!J53</f>
        <v>0</v>
      </c>
      <c r="I57" s="110">
        <f t="shared" si="36"/>
        <v>440850.60000000068</v>
      </c>
      <c r="J57" s="110"/>
      <c r="L57" s="108">
        <f t="shared" si="0"/>
        <v>46174</v>
      </c>
      <c r="M57" s="109">
        <f t="shared" si="4"/>
        <v>0</v>
      </c>
      <c r="N57" s="109" t="e">
        <f t="shared" si="5"/>
        <v>#N/A</v>
      </c>
      <c r="P57" s="325"/>
      <c r="Q57" s="392"/>
      <c r="R57" s="395"/>
      <c r="S57" s="395"/>
    </row>
    <row r="58" spans="3:19" ht="15" customHeight="1">
      <c r="D58" s="107">
        <v>46204</v>
      </c>
      <c r="E58" s="5">
        <f>Consolidated!K7</f>
        <v>0</v>
      </c>
      <c r="F58" s="5">
        <f>Consolidated!K46</f>
        <v>0</v>
      </c>
      <c r="G58" s="5">
        <f>Consolidated!K49</f>
        <v>0</v>
      </c>
      <c r="H58" s="5">
        <f>Consolidated!K53</f>
        <v>0</v>
      </c>
      <c r="I58" s="3">
        <f t="shared" si="36"/>
        <v>440850.60000000068</v>
      </c>
      <c r="J58" s="3"/>
      <c r="L58" s="107">
        <f t="shared" si="0"/>
        <v>46204</v>
      </c>
      <c r="M58" s="5">
        <f t="shared" si="4"/>
        <v>0</v>
      </c>
      <c r="N58" s="5" t="e">
        <f t="shared" si="5"/>
        <v>#N/A</v>
      </c>
      <c r="P58" s="326"/>
      <c r="Q58" s="393"/>
      <c r="R58" s="396"/>
      <c r="S58" s="396"/>
    </row>
    <row r="59" spans="3:19" ht="15" customHeight="1">
      <c r="D59" s="107">
        <v>46235</v>
      </c>
      <c r="E59" s="5">
        <f>Consolidated!L7</f>
        <v>0</v>
      </c>
      <c r="F59" s="5">
        <f>Consolidated!L46</f>
        <v>0</v>
      </c>
      <c r="G59" s="5">
        <f>Consolidated!L49</f>
        <v>0</v>
      </c>
      <c r="H59" s="5">
        <f>Consolidated!L53</f>
        <v>0</v>
      </c>
      <c r="I59" s="3">
        <f t="shared" si="36"/>
        <v>440850.60000000068</v>
      </c>
      <c r="J59" s="3"/>
      <c r="L59" s="107">
        <f t="shared" si="0"/>
        <v>46235</v>
      </c>
      <c r="M59" s="5">
        <f t="shared" si="4"/>
        <v>0</v>
      </c>
      <c r="N59" s="5" t="e">
        <f t="shared" si="5"/>
        <v>#N/A</v>
      </c>
      <c r="P59" s="325" t="s">
        <v>627</v>
      </c>
      <c r="Q59" s="391">
        <f t="shared" ref="Q59" si="55">SUM(H58:H60)</f>
        <v>0</v>
      </c>
      <c r="R59" s="394">
        <f t="shared" ref="R59" si="56">IF(Q59&gt;=0,Q59,NA())</f>
        <v>0</v>
      </c>
      <c r="S59" s="394" t="e">
        <f t="shared" ref="S59" si="57">IF(Q59&lt;0,Q59,NA())</f>
        <v>#N/A</v>
      </c>
    </row>
    <row r="60" spans="3:19" ht="15" customHeight="1">
      <c r="C60" s="111" t="e">
        <f>E60/E57-1</f>
        <v>#DIV/0!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440850.60000000068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92"/>
      <c r="R60" s="395"/>
      <c r="S60" s="395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440850.60000000068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3"/>
      <c r="R61" s="396"/>
      <c r="S61" s="396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440850.60000000068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628</v>
      </c>
      <c r="Q62" s="391">
        <f t="shared" ref="Q62" si="58">SUM(H61:H63)</f>
        <v>0</v>
      </c>
      <c r="R62" s="394">
        <f t="shared" ref="R62" si="59">IF(Q62&gt;=0,Q62,NA())</f>
        <v>0</v>
      </c>
      <c r="S62" s="394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440850.60000000068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2"/>
      <c r="R63" s="395"/>
      <c r="S63" s="395"/>
    </row>
    <row r="64" spans="3:19">
      <c r="P64" s="326"/>
      <c r="Q64" s="393"/>
      <c r="R64" s="396"/>
      <c r="S64" s="396"/>
    </row>
  </sheetData>
  <mergeCells count="64">
    <mergeCell ref="Q59:Q61"/>
    <mergeCell ref="R59:R61"/>
    <mergeCell ref="S59:S61"/>
    <mergeCell ref="Q62:Q64"/>
    <mergeCell ref="R62:R64"/>
    <mergeCell ref="S62:S64"/>
    <mergeCell ref="Q53:Q55"/>
    <mergeCell ref="R53:R55"/>
    <mergeCell ref="S53:S55"/>
    <mergeCell ref="Q56:Q58"/>
    <mergeCell ref="R56:R58"/>
    <mergeCell ref="S56:S58"/>
    <mergeCell ref="Q47:Q49"/>
    <mergeCell ref="R47:R49"/>
    <mergeCell ref="S47:S49"/>
    <mergeCell ref="Q50:Q52"/>
    <mergeCell ref="R50:R52"/>
    <mergeCell ref="S50:S52"/>
    <mergeCell ref="Q41:Q43"/>
    <mergeCell ref="R41:R43"/>
    <mergeCell ref="S41:S43"/>
    <mergeCell ref="Q44:Q46"/>
    <mergeCell ref="R44:R46"/>
    <mergeCell ref="S44:S46"/>
    <mergeCell ref="Q35:Q37"/>
    <mergeCell ref="R35:R37"/>
    <mergeCell ref="S35:S37"/>
    <mergeCell ref="Q38:Q40"/>
    <mergeCell ref="R38:R40"/>
    <mergeCell ref="S38:S40"/>
    <mergeCell ref="Q29:Q31"/>
    <mergeCell ref="R29:R31"/>
    <mergeCell ref="S29:S31"/>
    <mergeCell ref="Q32:Q34"/>
    <mergeCell ref="R32:R34"/>
    <mergeCell ref="S32:S34"/>
    <mergeCell ref="Q23:Q25"/>
    <mergeCell ref="R23:R25"/>
    <mergeCell ref="S23:S25"/>
    <mergeCell ref="Q26:Q28"/>
    <mergeCell ref="R26:R28"/>
    <mergeCell ref="S26:S28"/>
    <mergeCell ref="Q17:Q19"/>
    <mergeCell ref="R17:R19"/>
    <mergeCell ref="S17:S19"/>
    <mergeCell ref="Q20:Q22"/>
    <mergeCell ref="R20:R22"/>
    <mergeCell ref="S20:S22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P5:P7"/>
    <mergeCell ref="Q5:Q7"/>
    <mergeCell ref="R5:R7"/>
    <mergeCell ref="S5:S7"/>
    <mergeCell ref="P8:P1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27" zoomScaleNormal="100" workbookViewId="0">
      <selection activeCell="C76" sqref="C76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</row>
    <row r="82" spans="1:16">
      <c r="A82">
        <v>2026</v>
      </c>
      <c r="B82" t="s">
        <v>184</v>
      </c>
    </row>
    <row r="83" spans="1:16">
      <c r="A83">
        <v>2026</v>
      </c>
      <c r="B83" t="s">
        <v>185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629</v>
      </c>
      <c r="I86" s="334">
        <v>255</v>
      </c>
      <c r="K86" s="333" t="s">
        <v>696</v>
      </c>
      <c r="L86" s="197">
        <f>L88+L87</f>
        <v>28627174</v>
      </c>
      <c r="O86" s="333" t="s">
        <v>697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687</v>
      </c>
      <c r="I87" s="197">
        <f>L86-P86</f>
        <v>-4154</v>
      </c>
      <c r="K87" t="s">
        <v>690</v>
      </c>
      <c r="L87" s="192">
        <v>9922559</v>
      </c>
      <c r="O87" t="s">
        <v>693</v>
      </c>
      <c r="P87" s="192">
        <v>27316328</v>
      </c>
    </row>
    <row r="88" spans="1:16">
      <c r="H88" s="333" t="s">
        <v>688</v>
      </c>
      <c r="I88" s="197">
        <f>C80/I86</f>
        <v>1223802.3176470587</v>
      </c>
      <c r="K88" t="s">
        <v>691</v>
      </c>
      <c r="L88" s="192">
        <v>18704615</v>
      </c>
      <c r="O88" t="s">
        <v>694</v>
      </c>
      <c r="P88" s="192">
        <v>1315000</v>
      </c>
    </row>
    <row r="89" spans="1:16">
      <c r="H89" s="333" t="s">
        <v>689</v>
      </c>
      <c r="I89" s="334">
        <f>L89-P89</f>
        <v>14</v>
      </c>
      <c r="K89" t="s">
        <v>692</v>
      </c>
      <c r="L89">
        <v>23</v>
      </c>
      <c r="O89" t="s">
        <v>695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R26"/>
  <sheetViews>
    <sheetView topLeftCell="E1" workbookViewId="0">
      <selection activeCell="J8" sqref="J8:K8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18">
      <c r="F3" s="333" t="s">
        <v>704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718</v>
      </c>
    </row>
    <row r="4" spans="6:18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0</v>
      </c>
      <c r="M4" s="184">
        <f>IF(AuM!C82&gt;0,AuM!C82,0)</f>
        <v>0</v>
      </c>
      <c r="N4" s="184">
        <f>IF(AuM!C83&gt;0,AuM!C83,0)</f>
        <v>0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18">
      <c r="F5" t="s">
        <v>629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</row>
    <row r="6" spans="6:18">
      <c r="F6" t="s">
        <v>687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 t="shared" si="0"/>
        <v>0</v>
      </c>
      <c r="M6" s="184">
        <f t="shared" si="0"/>
        <v>0</v>
      </c>
      <c r="N6" s="184">
        <f t="shared" si="0"/>
        <v>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</row>
    <row r="7" spans="6:18">
      <c r="F7" t="s">
        <v>688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 t="str">
        <f t="shared" si="1"/>
        <v/>
      </c>
      <c r="M7" s="184" t="str">
        <f t="shared" si="1"/>
        <v/>
      </c>
      <c r="N7" s="184" t="str">
        <f t="shared" si="1"/>
        <v/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18" ht="16" thickBot="1">
      <c r="F8" s="371" t="s">
        <v>689</v>
      </c>
      <c r="G8" s="372">
        <f>G12-G16</f>
        <v>6</v>
      </c>
      <c r="H8" s="372">
        <f t="shared" ref="H8:R8" si="2">H12-H16</f>
        <v>4</v>
      </c>
      <c r="I8" s="372">
        <f t="shared" si="2"/>
        <v>3</v>
      </c>
      <c r="J8" s="372">
        <f t="shared" si="2"/>
        <v>3</v>
      </c>
      <c r="K8" s="372">
        <f t="shared" si="2"/>
        <v>-2</v>
      </c>
      <c r="L8" s="372">
        <f t="shared" si="2"/>
        <v>0</v>
      </c>
      <c r="M8" s="372">
        <f t="shared" si="2"/>
        <v>0</v>
      </c>
      <c r="N8" s="372">
        <f t="shared" si="2"/>
        <v>0</v>
      </c>
      <c r="O8" s="372">
        <f t="shared" si="2"/>
        <v>0</v>
      </c>
      <c r="P8" s="372">
        <f t="shared" si="2"/>
        <v>0</v>
      </c>
      <c r="Q8" s="372">
        <f t="shared" si="2"/>
        <v>0</v>
      </c>
      <c r="R8" s="372">
        <f t="shared" si="2"/>
        <v>0</v>
      </c>
    </row>
    <row r="9" spans="6:18" ht="17" thickTop="1" thickBot="1">
      <c r="F9" s="373" t="s">
        <v>696</v>
      </c>
      <c r="G9" s="374">
        <f>G11+G10</f>
        <v>5736023</v>
      </c>
      <c r="H9" s="374">
        <f t="shared" ref="H9:R9" si="3">H11+H10</f>
        <v>13701377</v>
      </c>
      <c r="I9" s="374">
        <f t="shared" si="3"/>
        <v>5520326</v>
      </c>
      <c r="J9" s="374">
        <f t="shared" si="3"/>
        <v>2441453</v>
      </c>
      <c r="K9" s="374">
        <f t="shared" si="3"/>
        <v>1227995</v>
      </c>
      <c r="L9" s="374">
        <f t="shared" si="3"/>
        <v>0</v>
      </c>
      <c r="M9" s="374">
        <f t="shared" si="3"/>
        <v>0</v>
      </c>
      <c r="N9" s="374">
        <f t="shared" si="3"/>
        <v>0</v>
      </c>
      <c r="O9" s="374">
        <f t="shared" si="3"/>
        <v>0</v>
      </c>
      <c r="P9" s="374">
        <f t="shared" si="3"/>
        <v>0</v>
      </c>
      <c r="Q9" s="374">
        <f t="shared" si="3"/>
        <v>0</v>
      </c>
      <c r="R9" s="374">
        <f t="shared" si="3"/>
        <v>0</v>
      </c>
    </row>
    <row r="10" spans="6:18" ht="16" thickTop="1">
      <c r="F10" t="s">
        <v>690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/>
      <c r="M10" s="184"/>
      <c r="N10" s="184"/>
      <c r="O10" s="184"/>
      <c r="P10" s="184"/>
      <c r="Q10" s="184"/>
      <c r="R10" s="184"/>
    </row>
    <row r="11" spans="6:18">
      <c r="F11" t="s">
        <v>691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/>
      <c r="M11" s="184"/>
      <c r="N11" s="184"/>
      <c r="O11" s="184"/>
      <c r="P11" s="184"/>
      <c r="Q11" s="184"/>
      <c r="R11" s="184"/>
    </row>
    <row r="12" spans="6:18" ht="16" thickBot="1">
      <c r="F12" s="371" t="s">
        <v>692</v>
      </c>
      <c r="G12" s="372">
        <v>10</v>
      </c>
      <c r="H12" s="372">
        <v>4</v>
      </c>
      <c r="I12" s="372">
        <v>6</v>
      </c>
      <c r="J12" s="372">
        <v>3</v>
      </c>
      <c r="K12" s="372">
        <v>0</v>
      </c>
      <c r="L12" s="372"/>
      <c r="M12" s="372"/>
      <c r="N12" s="372"/>
      <c r="O12" s="372"/>
      <c r="P12" s="372"/>
      <c r="Q12" s="372"/>
      <c r="R12" s="372"/>
    </row>
    <row r="13" spans="6:18" ht="17" thickTop="1" thickBot="1">
      <c r="F13" s="371" t="s">
        <v>697</v>
      </c>
      <c r="G13" s="375">
        <f>G15+G14</f>
        <v>27000000</v>
      </c>
      <c r="H13" s="375">
        <f t="shared" ref="H13:R13" si="4">H15+H14</f>
        <v>0</v>
      </c>
      <c r="I13" s="375">
        <f t="shared" si="4"/>
        <v>616328</v>
      </c>
      <c r="J13" s="375">
        <f t="shared" si="4"/>
        <v>0</v>
      </c>
      <c r="K13" s="375">
        <f t="shared" si="4"/>
        <v>1015000</v>
      </c>
      <c r="L13" s="375">
        <f t="shared" si="4"/>
        <v>0</v>
      </c>
      <c r="M13" s="375">
        <f t="shared" si="4"/>
        <v>0</v>
      </c>
      <c r="N13" s="375">
        <f t="shared" si="4"/>
        <v>0</v>
      </c>
      <c r="O13" s="375">
        <f t="shared" si="4"/>
        <v>0</v>
      </c>
      <c r="P13" s="375">
        <f t="shared" si="4"/>
        <v>0</v>
      </c>
      <c r="Q13" s="375">
        <f t="shared" si="4"/>
        <v>0</v>
      </c>
      <c r="R13" s="375">
        <f t="shared" si="4"/>
        <v>0</v>
      </c>
    </row>
    <row r="14" spans="6:18" ht="16" thickTop="1">
      <c r="F14" t="s">
        <v>693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/>
      <c r="M14" s="184"/>
      <c r="N14" s="184"/>
      <c r="O14" s="184"/>
      <c r="P14" s="184"/>
      <c r="Q14" s="184"/>
      <c r="R14" s="184"/>
    </row>
    <row r="15" spans="6:18">
      <c r="F15" t="s">
        <v>694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/>
      <c r="M15" s="184"/>
      <c r="N15" s="184"/>
      <c r="O15" s="184"/>
      <c r="P15" s="184"/>
      <c r="Q15" s="184"/>
      <c r="R15" s="184"/>
    </row>
    <row r="16" spans="6:18" ht="16" thickBot="1">
      <c r="F16" s="371" t="s">
        <v>695</v>
      </c>
      <c r="G16" s="372">
        <v>4</v>
      </c>
      <c r="H16" s="372">
        <v>0</v>
      </c>
      <c r="I16" s="372">
        <v>3</v>
      </c>
      <c r="J16" s="372">
        <v>0</v>
      </c>
      <c r="K16" s="372">
        <v>2</v>
      </c>
      <c r="L16" s="372"/>
      <c r="M16" s="372"/>
      <c r="N16" s="372"/>
      <c r="O16" s="372"/>
      <c r="P16" s="372"/>
      <c r="Q16" s="372"/>
      <c r="R16" s="372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42"/>
  <sheetViews>
    <sheetView zoomScaleNormal="100" workbookViewId="0">
      <selection activeCell="T129" sqref="T129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4" width="12.6640625" style="125" customWidth="1" outlineLevel="1"/>
    <col min="15" max="15" width="11.83203125" style="125" customWidth="1" outlineLevel="1"/>
    <col min="16" max="16" width="13" style="125" bestFit="1" customWidth="1" outlineLevel="1"/>
    <col min="17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>
        <f>Tabela1[[#Totals],[Coluna1]]</f>
        <v>1379002.7900000007</v>
      </c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29"/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630</v>
      </c>
      <c r="Q14" s="131" t="s">
        <v>631</v>
      </c>
      <c r="R14" s="131" t="s">
        <v>632</v>
      </c>
      <c r="S14" s="131" t="s">
        <v>633</v>
      </c>
      <c r="T14" s="131" t="s">
        <v>634</v>
      </c>
      <c r="U14" s="131" t="s">
        <v>635</v>
      </c>
      <c r="V14" s="131" t="s">
        <v>636</v>
      </c>
      <c r="W14" s="131" t="s">
        <v>637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279242.33999999997</v>
      </c>
      <c r="K15" s="15">
        <f>Tabela1[[#This Row],[Coluna1]]/Tabela1[[#Totals],[Coluna1]]</f>
        <v>0.20249584846742755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/>
      <c r="R15" s="186"/>
      <c r="S15" s="186"/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192932.23</v>
      </c>
      <c r="K16" s="15">
        <f>Tabela1[[#This Row],[Coluna1]]/Tabela1[[#Totals],[Coluna1]]</f>
        <v>0.13990706284212806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/>
      <c r="R16" s="186"/>
      <c r="S16" s="186"/>
      <c r="T16" s="186"/>
      <c r="U16" s="186"/>
      <c r="V16" s="186"/>
      <c r="W16" s="186"/>
      <c r="Y16" s="133" t="str">
        <f t="array" ref="Y16:Z24">_xlfn.GROUPBY(Tabela1[consultor],Tabela1[Coluna1],_xleta.SUM,,,-2,,)</f>
        <v>Augusto</v>
      </c>
      <c r="Z16" s="126">
        <v>420997.3299999999</v>
      </c>
      <c r="AA16" s="19">
        <f t="shared" ref="AA16:AA24" si="0">Z16/$Z$24</f>
        <v>0.30529113722822826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229</v>
      </c>
      <c r="I17" s="125" t="s">
        <v>136</v>
      </c>
      <c r="J17" s="128">
        <f>SUM(Tabela1[[#This Row],[jan./26]:[dez./26]])</f>
        <v>146371.10999999999</v>
      </c>
      <c r="K17" s="15">
        <f>Tabela1[[#This Row],[Coluna1]]/Tabela1[[#Totals],[Coluna1]]</f>
        <v>0.1061427221622952</v>
      </c>
      <c r="L17" s="184">
        <v>29385.47</v>
      </c>
      <c r="M17" s="184">
        <v>29374</v>
      </c>
      <c r="N17" s="184">
        <v>29385.47</v>
      </c>
      <c r="O17" s="186">
        <v>28993.7</v>
      </c>
      <c r="P17" s="186">
        <v>29232.47</v>
      </c>
      <c r="Q17" s="186"/>
      <c r="R17" s="186"/>
      <c r="S17" s="186"/>
      <c r="T17" s="186"/>
      <c r="U17" s="186"/>
      <c r="V17" s="186"/>
      <c r="W17" s="186"/>
      <c r="Y17" s="133" t="str">
        <v>Lamour</v>
      </c>
      <c r="Z17" s="126">
        <v>228557.27</v>
      </c>
      <c r="AA17" s="19">
        <f t="shared" si="0"/>
        <v>0.16574097721731212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228</v>
      </c>
      <c r="I18" s="125" t="s">
        <v>134</v>
      </c>
      <c r="J18" s="128">
        <f>SUM(Tabela1[[#This Row],[jan./26]:[dez./26]])</f>
        <v>151609.91999999998</v>
      </c>
      <c r="K18" s="15">
        <f>Tabela1[[#This Row],[Coluna1]]/Tabela1[[#Totals],[Coluna1]]</f>
        <v>0.10994170649937547</v>
      </c>
      <c r="L18" s="184">
        <v>29098.639999999999</v>
      </c>
      <c r="M18" s="184">
        <v>28086.87</v>
      </c>
      <c r="N18" s="184">
        <v>28244.31</v>
      </c>
      <c r="O18" s="186">
        <v>28699.06</v>
      </c>
      <c r="P18" s="186">
        <v>37481.040000000001</v>
      </c>
      <c r="Q18" s="186"/>
      <c r="R18" s="186"/>
      <c r="S18" s="186"/>
      <c r="T18" s="186"/>
      <c r="U18" s="186"/>
      <c r="V18" s="186"/>
      <c r="W18" s="186"/>
      <c r="Y18" s="133" t="str">
        <v>Andaluz</v>
      </c>
      <c r="Z18" s="126">
        <v>220869.55000000002</v>
      </c>
      <c r="AA18" s="19">
        <f t="shared" si="0"/>
        <v>0.16016613715480582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225</v>
      </c>
      <c r="H19" s="125" t="s">
        <v>230</v>
      </c>
      <c r="I19" s="125" t="s">
        <v>138</v>
      </c>
      <c r="J19" s="128">
        <f>SUM(Tabela1[[#This Row],[jan./26]:[dez./26]])</f>
        <v>79372.069999999992</v>
      </c>
      <c r="K19" s="15">
        <f>Tabela1[[#This Row],[Coluna1]]/Tabela1[[#Totals],[Coluna1]]</f>
        <v>5.7557584781971288E-2</v>
      </c>
      <c r="L19" s="184">
        <v>13312.09</v>
      </c>
      <c r="M19" s="184">
        <v>14869.96</v>
      </c>
      <c r="N19" s="184">
        <v>16284.9</v>
      </c>
      <c r="O19" s="186">
        <v>18975.32</v>
      </c>
      <c r="P19" s="186">
        <v>15929.8</v>
      </c>
      <c r="Q19" s="186"/>
      <c r="R19" s="186"/>
      <c r="S19" s="186"/>
      <c r="T19" s="186"/>
      <c r="U19" s="186"/>
      <c r="V19" s="186"/>
      <c r="W19" s="186"/>
      <c r="Y19" s="133" t="str">
        <v>Gaioso</v>
      </c>
      <c r="Z19" s="126">
        <v>158628.43000000002</v>
      </c>
      <c r="AA19" s="19">
        <f t="shared" si="0"/>
        <v>0.11503126110426501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231</v>
      </c>
      <c r="I20" s="125" t="s">
        <v>232</v>
      </c>
      <c r="J20" s="128">
        <f>SUM(Tabela1[[#This Row],[jan./26]:[dez./26]])</f>
        <v>63191.780000000006</v>
      </c>
      <c r="K20" s="15">
        <f>Tabela1[[#This Row],[Coluna1]]/Tabela1[[#Totals],[Coluna1]]</f>
        <v>4.5824258267091668E-2</v>
      </c>
      <c r="L20" s="184">
        <v>12738.43</v>
      </c>
      <c r="M20" s="184">
        <v>11614.62</v>
      </c>
      <c r="N20" s="184">
        <v>12858.35</v>
      </c>
      <c r="O20" s="186">
        <v>12990.19</v>
      </c>
      <c r="P20" s="186">
        <v>12990.19</v>
      </c>
      <c r="Q20" s="186"/>
      <c r="R20" s="186"/>
      <c r="S20" s="186"/>
      <c r="T20" s="186"/>
      <c r="U20" s="186"/>
      <c r="V20" s="186"/>
      <c r="W20" s="186"/>
      <c r="Y20" s="133" t="str">
        <v>Sidney</v>
      </c>
      <c r="Z20" s="126">
        <v>158438.30999999994</v>
      </c>
      <c r="AA20" s="19">
        <f t="shared" si="0"/>
        <v>0.11489339336289513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392</v>
      </c>
      <c r="I21" s="125" t="s">
        <v>140</v>
      </c>
      <c r="J21" s="128">
        <f>SUM(Tabela1[[#This Row],[jan./26]:[dez./26]])</f>
        <v>3750</v>
      </c>
      <c r="K21" s="15">
        <f>Tabela1[[#This Row],[Coluna1]]/Tabela1[[#Totals],[Coluna1]]</f>
        <v>2.7193563546017178E-3</v>
      </c>
      <c r="L21" s="184">
        <v>750</v>
      </c>
      <c r="M21" s="184">
        <v>750</v>
      </c>
      <c r="N21" s="184">
        <v>750</v>
      </c>
      <c r="O21" s="186">
        <v>750</v>
      </c>
      <c r="P21" s="186">
        <v>750</v>
      </c>
      <c r="Q21" s="186"/>
      <c r="R21" s="186"/>
      <c r="S21" s="186"/>
      <c r="T21" s="186"/>
      <c r="U21" s="186"/>
      <c r="V21" s="186"/>
      <c r="W21" s="186"/>
      <c r="Y21" s="133" t="str">
        <v>Pedro</v>
      </c>
      <c r="Z21" s="126">
        <v>114821.28999999998</v>
      </c>
      <c r="AA21" s="19">
        <f t="shared" si="0"/>
        <v>8.3264001228017762E-2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4.6944067459065812E-2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71731.11</v>
      </c>
      <c r="AA22" s="19">
        <f t="shared" si="0"/>
        <v>5.2016653280302617E-2</v>
      </c>
      <c r="AB22" s="126"/>
      <c r="AC22" s="126"/>
      <c r="AD22" s="126"/>
    </row>
    <row r="23" spans="6:45" ht="15.75" customHeight="1">
      <c r="F23" s="125" t="s">
        <v>225</v>
      </c>
      <c r="G23" s="125" t="s">
        <v>394</v>
      </c>
      <c r="H23" s="125" t="s">
        <v>394</v>
      </c>
      <c r="I23" s="125" t="s">
        <v>235</v>
      </c>
      <c r="J23" s="128">
        <f>SUM(Tabela1[[#This Row],[jan./26]:[dez./26]])</f>
        <v>64736</v>
      </c>
      <c r="K23" s="15">
        <f>Tabela1[[#This Row],[Coluna1]]/Tabela1[[#Totals],[Coluna1]]</f>
        <v>4.6944067459065812E-2</v>
      </c>
      <c r="L23" s="184">
        <v>32368</v>
      </c>
      <c r="M23" s="184">
        <v>0</v>
      </c>
      <c r="N23" s="184">
        <v>0</v>
      </c>
      <c r="O23" s="186">
        <v>0</v>
      </c>
      <c r="P23" s="186">
        <v>32368</v>
      </c>
      <c r="Q23" s="186"/>
      <c r="R23" s="186"/>
      <c r="S23" s="186"/>
      <c r="T23" s="186"/>
      <c r="U23" s="186"/>
      <c r="V23" s="186"/>
      <c r="W23" s="186"/>
      <c r="Y23" s="133" t="str">
        <v>Bruno</v>
      </c>
      <c r="Z23" s="126">
        <v>4959.5</v>
      </c>
      <c r="AA23" s="19">
        <f t="shared" si="0"/>
        <v>3.5964394241725915E-3</v>
      </c>
      <c r="AB23" s="126"/>
      <c r="AC23" s="126"/>
      <c r="AD23" s="126"/>
    </row>
    <row r="24" spans="6:45" ht="15.75" customHeight="1">
      <c r="F24" s="125" t="s">
        <v>225</v>
      </c>
      <c r="G24" s="125" t="s">
        <v>234</v>
      </c>
      <c r="H24" s="125" t="s">
        <v>395</v>
      </c>
      <c r="I24" s="125" t="s">
        <v>235</v>
      </c>
      <c r="J24" s="128">
        <f>SUM(Tabela1[[#This Row],[jan./26]:[dez./26]])</f>
        <v>55452.850000000006</v>
      </c>
      <c r="K24" s="15">
        <f>Tabela1[[#This Row],[Coluna1]]/Tabela1[[#Totals],[Coluna1]]</f>
        <v>4.0212282674206901E-2</v>
      </c>
      <c r="L24" s="184">
        <v>26487.74</v>
      </c>
      <c r="M24" s="184">
        <v>0</v>
      </c>
      <c r="N24" s="184">
        <v>0</v>
      </c>
      <c r="O24" s="186">
        <v>28965.11</v>
      </c>
      <c r="P24" s="186"/>
      <c r="Q24" s="186"/>
      <c r="R24" s="186"/>
      <c r="S24" s="186"/>
      <c r="T24" s="186"/>
      <c r="U24" s="186"/>
      <c r="V24" s="186"/>
      <c r="W24" s="186"/>
      <c r="Y24" s="133" t="str">
        <v>Total</v>
      </c>
      <c r="Z24" s="126">
        <v>1379002.7900000007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234</v>
      </c>
      <c r="H25" s="125" t="s">
        <v>393</v>
      </c>
      <c r="I25" s="125" t="s">
        <v>235</v>
      </c>
      <c r="J25" s="128">
        <f>SUM(Tabela1[[#This Row],[jan./26]:[dez./26]])</f>
        <v>5939.17</v>
      </c>
      <c r="K25" s="15">
        <f>Tabela1[[#This Row],[Coluna1]]/Tabela1[[#Totals],[Coluna1]]</f>
        <v>4.3068585814826357E-3</v>
      </c>
      <c r="L25" s="184">
        <v>0</v>
      </c>
      <c r="M25" s="184">
        <v>5939.17</v>
      </c>
      <c r="N25" s="184">
        <v>0</v>
      </c>
      <c r="O25" s="186">
        <v>0</v>
      </c>
      <c r="P25" s="186"/>
      <c r="Q25" s="186"/>
      <c r="R25" s="186"/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238</v>
      </c>
      <c r="I26" s="125" t="s">
        <v>135</v>
      </c>
      <c r="J26" s="128">
        <f>SUM(Tabela1[[#This Row],[jan./26]:[dez./26]])</f>
        <v>20060</v>
      </c>
      <c r="K26" s="15">
        <f>Tabela1[[#This Row],[Coluna1]]/Tabela1[[#Totals],[Coluna1]]</f>
        <v>1.4546743592882789E-2</v>
      </c>
      <c r="L26" s="184">
        <v>4200</v>
      </c>
      <c r="M26" s="184">
        <v>6720</v>
      </c>
      <c r="N26" s="184">
        <v>2000</v>
      </c>
      <c r="O26" s="186">
        <v>3780</v>
      </c>
      <c r="P26" s="186">
        <v>3360</v>
      </c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236</v>
      </c>
      <c r="H27" s="125" t="s">
        <v>237</v>
      </c>
      <c r="I27" s="125" t="s">
        <v>138</v>
      </c>
      <c r="J27" s="128">
        <f>SUM(Tabela1[[#This Row],[jan./26]:[dez./26]])</f>
        <v>15330</v>
      </c>
      <c r="K27" s="15">
        <f>Tabela1[[#This Row],[Coluna1]]/Tabela1[[#Totals],[Coluna1]]</f>
        <v>1.1116728777611821E-2</v>
      </c>
      <c r="L27" s="184">
        <v>0</v>
      </c>
      <c r="M27" s="184">
        <v>7350</v>
      </c>
      <c r="N27" s="184">
        <v>7980</v>
      </c>
      <c r="O27" s="186">
        <v>0</v>
      </c>
      <c r="P27" s="186"/>
      <c r="Q27" s="186"/>
      <c r="R27" s="186"/>
      <c r="S27" s="186"/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236</v>
      </c>
      <c r="H28" s="125" t="s">
        <v>396</v>
      </c>
      <c r="I28" s="125" t="s">
        <v>151</v>
      </c>
      <c r="J28" s="128">
        <f>SUM(Tabela1[[#This Row],[jan./26]:[dez./26]])</f>
        <v>17200</v>
      </c>
      <c r="K28" s="15">
        <f>Tabela1[[#This Row],[Coluna1]]/Tabela1[[#Totals],[Coluna1]]</f>
        <v>1.2472781146439878E-2</v>
      </c>
      <c r="L28" s="184">
        <v>10500</v>
      </c>
      <c r="M28" s="184">
        <v>2100</v>
      </c>
      <c r="N28" s="184">
        <v>0</v>
      </c>
      <c r="O28" s="186">
        <v>2300</v>
      </c>
      <c r="P28" s="186">
        <v>2300</v>
      </c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397</v>
      </c>
      <c r="H29" s="125" t="s">
        <v>398</v>
      </c>
      <c r="I29" s="125" t="s">
        <v>235</v>
      </c>
      <c r="J29" s="128">
        <f>SUM(Tabela1[[#This Row],[jan./26]:[dez./26]])</f>
        <v>7935.0500000000011</v>
      </c>
      <c r="K29" s="15">
        <f>Tabela1[[#This Row],[Coluna1]]/Tabela1[[#Totals],[Coluna1]]</f>
        <v>5.7541943044219631E-3</v>
      </c>
      <c r="L29" s="184">
        <v>1000.33</v>
      </c>
      <c r="M29" s="184">
        <v>1168.47</v>
      </c>
      <c r="N29" s="184">
        <v>1870.76</v>
      </c>
      <c r="O29" s="186">
        <v>1580.63</v>
      </c>
      <c r="P29" s="186">
        <v>2314.86</v>
      </c>
      <c r="Q29" s="186"/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397</v>
      </c>
      <c r="H30" s="125" t="s">
        <v>399</v>
      </c>
      <c r="I30" s="125" t="s">
        <v>235</v>
      </c>
      <c r="J30" s="128">
        <f>SUM(Tabela1[[#This Row],[jan./26]:[dez./26]])</f>
        <v>12.63</v>
      </c>
      <c r="K30" s="15">
        <f>Tabela1[[#This Row],[Coluna1]]/Tabela1[[#Totals],[Coluna1]]</f>
        <v>9.1587922022985856E-6</v>
      </c>
      <c r="L30" s="184">
        <v>1.48</v>
      </c>
      <c r="M30" s="184">
        <v>1.37</v>
      </c>
      <c r="N30" s="184">
        <v>2.7</v>
      </c>
      <c r="O30" s="186">
        <v>4.6500000000000004</v>
      </c>
      <c r="P30" s="186">
        <v>2.4300000000000002</v>
      </c>
      <c r="Q30" s="186"/>
      <c r="R30" s="186"/>
      <c r="S30" s="186"/>
      <c r="T30" s="186"/>
      <c r="U30" s="186"/>
      <c r="V30" s="186"/>
      <c r="W30" s="186"/>
      <c r="Y30" s="188" t="s">
        <v>225</v>
      </c>
      <c r="Z30" s="19">
        <f t="shared" ref="Z30:Z51" si="1">AA30/$J$142</f>
        <v>0.66458853937489082</v>
      </c>
      <c r="AA30" s="3">
        <f t="shared" ref="AA30:AA51" si="2">SUMIF($G$15:$G$141,Y30,$J$15:$J$141)</f>
        <v>916469.44999999984</v>
      </c>
      <c r="AC30" s="130" t="s">
        <v>225</v>
      </c>
      <c r="AD30" s="19">
        <f>Tabela5[[#This Row],[%]]</f>
        <v>0.66458853937489082</v>
      </c>
      <c r="AS30" s="137">
        <v>6.6000000000000003E-2</v>
      </c>
    </row>
    <row r="31" spans="6:45" ht="16.5" customHeight="1">
      <c r="F31" s="125" t="s">
        <v>225</v>
      </c>
      <c r="G31" s="125" t="s">
        <v>239</v>
      </c>
      <c r="H31" s="125" t="s">
        <v>240</v>
      </c>
      <c r="I31" s="125" t="s">
        <v>135</v>
      </c>
      <c r="J31" s="128">
        <f>SUM(Tabela1[[#This Row],[jan./26]:[dez./26]])</f>
        <v>1350</v>
      </c>
      <c r="K31" s="15">
        <f>Tabela1[[#This Row],[Coluna1]]/Tabela1[[#Totals],[Coluna1]]</f>
        <v>9.7896828765661834E-4</v>
      </c>
      <c r="L31" s="184">
        <v>0</v>
      </c>
      <c r="M31" s="184">
        <v>750</v>
      </c>
      <c r="N31" s="184">
        <v>600</v>
      </c>
      <c r="O31" s="186">
        <v>0</v>
      </c>
      <c r="P31" s="186"/>
      <c r="Q31" s="186"/>
      <c r="R31" s="186"/>
      <c r="S31" s="186"/>
      <c r="T31" s="186"/>
      <c r="U31" s="186"/>
      <c r="V31" s="186"/>
      <c r="W31" s="186"/>
      <c r="Y31" s="188" t="s">
        <v>394</v>
      </c>
      <c r="Z31" s="19">
        <f t="shared" si="1"/>
        <v>9.3888134918131624E-2</v>
      </c>
      <c r="AA31" s="3">
        <f t="shared" si="2"/>
        <v>129472</v>
      </c>
      <c r="AC31" s="130" t="s">
        <v>446</v>
      </c>
      <c r="AD31" s="19">
        <f>Tabela5[[#This Row],[%]]+Z32</f>
        <v>0.13840727617382115</v>
      </c>
      <c r="AS31" s="138">
        <v>4.7E-2</v>
      </c>
    </row>
    <row r="32" spans="6:45" ht="16.5" customHeight="1">
      <c r="F32" s="125" t="s">
        <v>225</v>
      </c>
      <c r="G32" s="125" t="s">
        <v>239</v>
      </c>
      <c r="H32" s="125" t="s">
        <v>400</v>
      </c>
      <c r="I32" s="125" t="s">
        <v>134</v>
      </c>
      <c r="J32" s="128">
        <f>SUM(Tabela1[[#This Row],[jan./26]:[dez./26]])</f>
        <v>1200</v>
      </c>
      <c r="K32" s="15">
        <f>Tabela1[[#This Row],[Coluna1]]/Tabela1[[#Totals],[Coluna1]]</f>
        <v>8.7019403347254963E-4</v>
      </c>
      <c r="L32" s="184">
        <v>0</v>
      </c>
      <c r="M32" s="184">
        <v>0</v>
      </c>
      <c r="N32" s="184">
        <v>0</v>
      </c>
      <c r="O32" s="186">
        <v>1200</v>
      </c>
      <c r="P32" s="186"/>
      <c r="Q32" s="186"/>
      <c r="R32" s="186"/>
      <c r="S32" s="186"/>
      <c r="T32" s="186"/>
      <c r="U32" s="186"/>
      <c r="V32" s="186"/>
      <c r="W32" s="186"/>
      <c r="Y32" s="188" t="s">
        <v>234</v>
      </c>
      <c r="Z32" s="19">
        <f t="shared" si="1"/>
        <v>4.4519141255689537E-2</v>
      </c>
      <c r="AA32" s="3">
        <f t="shared" si="2"/>
        <v>61392.020000000004</v>
      </c>
      <c r="AC32" s="130" t="s">
        <v>249</v>
      </c>
      <c r="AD32" s="19">
        <f>Z33</f>
        <v>5.4314146819093787E-2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241</v>
      </c>
      <c r="I33" s="125" t="s">
        <v>138</v>
      </c>
      <c r="J33" s="128">
        <f>SUM(Tabela1[[#This Row],[jan./26]:[dez./26]])</f>
        <v>375</v>
      </c>
      <c r="K33" s="15">
        <f>Tabela1[[#This Row],[Coluna1]]/Tabela1[[#Totals],[Coluna1]]</f>
        <v>2.7193563546017179E-4</v>
      </c>
      <c r="L33" s="184">
        <v>375</v>
      </c>
      <c r="M33" s="184">
        <v>0</v>
      </c>
      <c r="N33" s="184">
        <v>0</v>
      </c>
      <c r="O33" s="186">
        <v>0</v>
      </c>
      <c r="P33" s="186"/>
      <c r="Q33" s="186"/>
      <c r="R33" s="186"/>
      <c r="S33" s="186"/>
      <c r="T33" s="186"/>
      <c r="U33" s="186"/>
      <c r="V33" s="186"/>
      <c r="W33" s="186"/>
      <c r="Y33" s="188" t="s">
        <v>245</v>
      </c>
      <c r="Z33" s="19">
        <f t="shared" si="1"/>
        <v>5.4314146819093787E-2</v>
      </c>
      <c r="AA33" s="3">
        <f t="shared" si="2"/>
        <v>74899.360000000001</v>
      </c>
      <c r="AC33" s="130" t="s">
        <v>236</v>
      </c>
      <c r="AD33" s="19">
        <f>Z34</f>
        <v>3.813625351693449E-2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326</v>
      </c>
      <c r="H34" s="125" t="s">
        <v>401</v>
      </c>
      <c r="I34" s="125" t="s">
        <v>235</v>
      </c>
      <c r="J34" s="128">
        <f>SUM(Tabela1[[#This Row],[jan./26]:[dez./26]])</f>
        <v>261.61</v>
      </c>
      <c r="K34" s="15">
        <f>Tabela1[[#This Row],[Coluna1]]/Tabela1[[#Totals],[Coluna1]]</f>
        <v>1.8970955091396143E-4</v>
      </c>
      <c r="L34" s="184">
        <v>200.7</v>
      </c>
      <c r="M34" s="184">
        <v>0</v>
      </c>
      <c r="N34" s="184">
        <v>0</v>
      </c>
      <c r="O34" s="186">
        <v>0</v>
      </c>
      <c r="P34" s="186">
        <v>60.91</v>
      </c>
      <c r="Q34" s="186"/>
      <c r="R34" s="186"/>
      <c r="S34" s="186"/>
      <c r="T34" s="186"/>
      <c r="U34" s="186"/>
      <c r="V34" s="186"/>
      <c r="W34" s="186"/>
      <c r="Y34" s="188" t="s">
        <v>236</v>
      </c>
      <c r="Z34" s="19">
        <f t="shared" si="1"/>
        <v>3.813625351693449E-2</v>
      </c>
      <c r="AA34" s="3">
        <f t="shared" si="2"/>
        <v>52590</v>
      </c>
      <c r="AC34" s="130" t="str">
        <f>Y35</f>
        <v>Consórcio</v>
      </c>
      <c r="AD34" s="19">
        <f>Z35</f>
        <v>3.8232554989972113E-2</v>
      </c>
      <c r="AS34" s="137">
        <v>1.9E-2</v>
      </c>
    </row>
    <row r="35" spans="6:47" ht="16.5" customHeight="1">
      <c r="F35" s="125" t="s">
        <v>225</v>
      </c>
      <c r="G35" s="125" t="s">
        <v>445</v>
      </c>
      <c r="H35" s="125" t="s">
        <v>367</v>
      </c>
      <c r="I35" s="125" t="s">
        <v>235</v>
      </c>
      <c r="J35" s="128">
        <f>SUM(Tabela1[[#This Row],[jan./26]:[dez./26]])</f>
        <v>14.57</v>
      </c>
      <c r="K35" s="15">
        <f>Tabela1[[#This Row],[Coluna1]]/Tabela1[[#Totals],[Coluna1]]</f>
        <v>1.0565605889745874E-5</v>
      </c>
      <c r="L35" s="184">
        <v>8.6300000000000008</v>
      </c>
      <c r="M35" s="184">
        <v>1.89</v>
      </c>
      <c r="N35" s="184">
        <v>0.6</v>
      </c>
      <c r="O35" s="186">
        <v>3.45</v>
      </c>
      <c r="P35" s="186"/>
      <c r="Q35" s="186"/>
      <c r="R35" s="186"/>
      <c r="S35" s="186"/>
      <c r="T35" s="186"/>
      <c r="U35" s="186"/>
      <c r="V35" s="186"/>
      <c r="W35" s="186"/>
      <c r="Y35" s="188" t="s">
        <v>24</v>
      </c>
      <c r="Z35" s="19">
        <f t="shared" si="1"/>
        <v>3.8232554989972113E-2</v>
      </c>
      <c r="AA35" s="3">
        <f t="shared" si="2"/>
        <v>52722.799999999996</v>
      </c>
      <c r="AC35" s="130" t="s">
        <v>253</v>
      </c>
      <c r="AD35" s="19">
        <f>SUM(Z36:Z51)</f>
        <v>4.9558173845319027E-2</v>
      </c>
      <c r="AS35" s="138">
        <v>1.2E-2</v>
      </c>
    </row>
    <row r="36" spans="6:47" ht="16.5" customHeight="1">
      <c r="F36" s="125" t="s">
        <v>225</v>
      </c>
      <c r="G36" s="125" t="s">
        <v>324</v>
      </c>
      <c r="H36" s="125" t="s">
        <v>401</v>
      </c>
      <c r="I36" s="125" t="s">
        <v>235</v>
      </c>
      <c r="J36" s="128">
        <f>SUM(Tabela1[[#This Row],[jan./26]:[dez./26]])</f>
        <v>9030.3700000000008</v>
      </c>
      <c r="K36" s="15">
        <f>Tabela1[[#This Row],[Coluna1]]/Tabela1[[#Totals],[Coluna1]]</f>
        <v>6.5484784117079238E-3</v>
      </c>
      <c r="L36" s="184">
        <v>8702.25</v>
      </c>
      <c r="M36" s="184">
        <v>0.01</v>
      </c>
      <c r="N36" s="184">
        <v>328.11</v>
      </c>
      <c r="O36" s="186">
        <v>0</v>
      </c>
      <c r="P36" s="186"/>
      <c r="Q36" s="186"/>
      <c r="R36" s="186"/>
      <c r="S36" s="186"/>
      <c r="T36" s="186"/>
      <c r="U36" s="186"/>
      <c r="V36" s="186"/>
      <c r="W36" s="186"/>
      <c r="Y36" s="188" t="s">
        <v>406</v>
      </c>
      <c r="Z36" s="19">
        <f t="shared" si="1"/>
        <v>0</v>
      </c>
      <c r="AA36" s="3">
        <f t="shared" si="2"/>
        <v>0</v>
      </c>
      <c r="AC36" s="130"/>
      <c r="AD36" s="19"/>
      <c r="AS36" s="137">
        <v>5.0000000000000001E-3</v>
      </c>
    </row>
    <row r="37" spans="6:47" ht="16.5" customHeight="1">
      <c r="F37" s="125" t="s">
        <v>225</v>
      </c>
      <c r="G37" s="125" t="s">
        <v>324</v>
      </c>
      <c r="H37" s="125" t="s">
        <v>399</v>
      </c>
      <c r="I37" s="125" t="s">
        <v>235</v>
      </c>
      <c r="J37" s="128">
        <f>SUM(Tabela1[[#This Row],[jan./26]:[dez./26]])</f>
        <v>3.67</v>
      </c>
      <c r="K37" s="15">
        <f>Tabela1[[#This Row],[Coluna1]]/Tabela1[[#Totals],[Coluna1]]</f>
        <v>2.661343419036881E-6</v>
      </c>
      <c r="L37" s="184">
        <v>0.62</v>
      </c>
      <c r="M37" s="184">
        <v>3</v>
      </c>
      <c r="N37" s="184">
        <v>0.03</v>
      </c>
      <c r="O37" s="186">
        <v>0.02</v>
      </c>
      <c r="P37" s="186"/>
      <c r="Q37" s="186"/>
      <c r="R37" s="186"/>
      <c r="S37" s="186"/>
      <c r="T37" s="186"/>
      <c r="U37" s="186"/>
      <c r="V37" s="186"/>
      <c r="W37" s="186"/>
      <c r="Y37" s="188" t="s">
        <v>243</v>
      </c>
      <c r="Z37" s="19">
        <f t="shared" si="1"/>
        <v>1.5560918480810319E-2</v>
      </c>
      <c r="AA37" s="3">
        <f t="shared" si="2"/>
        <v>21458.550000000003</v>
      </c>
      <c r="AD37" s="140"/>
      <c r="AS37" s="138">
        <v>3.0000000000000001E-3</v>
      </c>
    </row>
    <row r="38" spans="6:47" ht="16.5" customHeight="1">
      <c r="F38" s="125" t="s">
        <v>242</v>
      </c>
      <c r="G38" s="125" t="s">
        <v>24</v>
      </c>
      <c r="H38" s="125" t="s">
        <v>402</v>
      </c>
      <c r="I38" s="125" t="s">
        <v>135</v>
      </c>
      <c r="J38" s="128">
        <f>SUM(Tabela1[[#This Row],[jan./26]:[dez./26]])</f>
        <v>52722.799999999996</v>
      </c>
      <c r="K38" s="15">
        <f>Tabela1[[#This Row],[Coluna1]]/Tabela1[[#Totals],[Coluna1]]</f>
        <v>3.8232554989972113E-2</v>
      </c>
      <c r="L38" s="184">
        <v>10544.56</v>
      </c>
      <c r="M38" s="184">
        <v>10544.56</v>
      </c>
      <c r="N38" s="184">
        <v>10544.56</v>
      </c>
      <c r="O38" s="186">
        <v>10544.56</v>
      </c>
      <c r="P38" s="186">
        <v>10544.56</v>
      </c>
      <c r="Q38" s="186"/>
      <c r="R38" s="186"/>
      <c r="S38" s="186"/>
      <c r="T38" s="186"/>
      <c r="U38" s="186"/>
      <c r="V38" s="186"/>
      <c r="W38" s="186"/>
      <c r="Y38" s="188" t="s">
        <v>324</v>
      </c>
      <c r="Z38" s="19">
        <f t="shared" si="1"/>
        <v>9.3355793718154795E-3</v>
      </c>
      <c r="AA38" s="3">
        <f t="shared" si="2"/>
        <v>12873.79</v>
      </c>
      <c r="AD38" s="140"/>
      <c r="AS38" s="137">
        <v>2E-3</v>
      </c>
    </row>
    <row r="39" spans="6:47" ht="16.5" customHeight="1">
      <c r="F39" s="125" t="s">
        <v>242</v>
      </c>
      <c r="G39" s="125" t="s">
        <v>25</v>
      </c>
      <c r="H39" s="125" t="s">
        <v>409</v>
      </c>
      <c r="I39" s="125" t="s">
        <v>135</v>
      </c>
      <c r="J39" s="128">
        <f>SUM(Tabela1[[#This Row],[jan./26]:[dez./26]])</f>
        <v>14885.8</v>
      </c>
      <c r="K39" s="15">
        <f>Tabela1[[#This Row],[Coluna1]]/Tabela1[[#Totals],[Coluna1]]</f>
        <v>1.0794611952888066E-2</v>
      </c>
      <c r="L39" s="184">
        <v>2278.5500000000002</v>
      </c>
      <c r="M39" s="184">
        <v>2278.5500000000002</v>
      </c>
      <c r="N39" s="184">
        <v>2278.5500000000002</v>
      </c>
      <c r="O39" s="186">
        <v>2280.5100000000002</v>
      </c>
      <c r="P39" s="186">
        <v>5769.64</v>
      </c>
      <c r="Q39" s="186"/>
      <c r="R39" s="186"/>
      <c r="S39" s="186"/>
      <c r="T39" s="186"/>
      <c r="U39" s="186"/>
      <c r="V39" s="186"/>
      <c r="W39" s="186"/>
      <c r="Y39" s="188" t="s">
        <v>252</v>
      </c>
      <c r="Z39" s="19">
        <f t="shared" si="1"/>
        <v>8.13816337528947E-3</v>
      </c>
      <c r="AA39" s="3">
        <f t="shared" si="2"/>
        <v>11222.550000000001</v>
      </c>
      <c r="AD39" s="140"/>
      <c r="AS39" s="138">
        <v>1E-3</v>
      </c>
    </row>
    <row r="40" spans="6:47" ht="15.75" customHeight="1">
      <c r="F40" s="125" t="s">
        <v>242</v>
      </c>
      <c r="G40" s="125" t="s">
        <v>245</v>
      </c>
      <c r="H40" s="125" t="s">
        <v>256</v>
      </c>
      <c r="I40" s="125" t="s">
        <v>135</v>
      </c>
      <c r="J40" s="128">
        <f>SUM(Tabela1[[#This Row],[jan./26]:[dez./26]])</f>
        <v>5812.98</v>
      </c>
      <c r="K40" s="15">
        <f>Tabela1[[#This Row],[Coluna1]]/Tabela1[[#Totals],[Coluna1]]</f>
        <v>4.2153504272460507E-3</v>
      </c>
      <c r="L40" s="184">
        <v>198.84</v>
      </c>
      <c r="M40" s="184">
        <v>230.99</v>
      </c>
      <c r="N40" s="184">
        <v>240.65</v>
      </c>
      <c r="O40" s="186">
        <v>271.51</v>
      </c>
      <c r="P40" s="186">
        <v>4870.99</v>
      </c>
      <c r="Q40" s="186"/>
      <c r="R40" s="186"/>
      <c r="S40" s="186"/>
      <c r="T40" s="186"/>
      <c r="U40" s="186"/>
      <c r="V40" s="186"/>
      <c r="W40" s="186"/>
      <c r="Y40" s="188" t="s">
        <v>397</v>
      </c>
      <c r="Z40" s="19">
        <f t="shared" si="1"/>
        <v>5.7633530966242621E-3</v>
      </c>
      <c r="AA40" s="3">
        <f t="shared" si="2"/>
        <v>7947.6800000000012</v>
      </c>
    </row>
    <row r="41" spans="6:47" ht="15.75" customHeight="1">
      <c r="F41" s="125" t="s">
        <v>242</v>
      </c>
      <c r="G41" s="125" t="s">
        <v>324</v>
      </c>
      <c r="H41" s="125" t="s">
        <v>341</v>
      </c>
      <c r="I41" s="125" t="s">
        <v>235</v>
      </c>
      <c r="J41" s="128">
        <f>SUM(Tabela1[[#This Row],[jan./26]:[dez./26]])</f>
        <v>3839.75</v>
      </c>
      <c r="K41" s="132">
        <f>Tabela1[[#This Row],[Coluna1]]/Tabela1[[#Totals],[Coluna1]]</f>
        <v>2.7844396166885189E-3</v>
      </c>
      <c r="L41" s="186">
        <v>0</v>
      </c>
      <c r="M41" s="186">
        <v>980</v>
      </c>
      <c r="N41" s="186">
        <v>0</v>
      </c>
      <c r="O41" s="186">
        <v>0</v>
      </c>
      <c r="P41" s="186">
        <v>2859.75</v>
      </c>
      <c r="Q41" s="186"/>
      <c r="R41" s="186"/>
      <c r="S41" s="186"/>
      <c r="T41" s="186"/>
      <c r="U41" s="186"/>
      <c r="V41" s="186"/>
      <c r="W41" s="186"/>
      <c r="Y41" s="188" t="s">
        <v>239</v>
      </c>
      <c r="Z41" s="19">
        <f t="shared" si="1"/>
        <v>2.1210979565893396E-3</v>
      </c>
      <c r="AA41" s="3">
        <f t="shared" si="2"/>
        <v>2925</v>
      </c>
      <c r="AH41" s="126"/>
    </row>
    <row r="42" spans="6:47" ht="15.75" customHeight="1">
      <c r="F42" s="125" t="s">
        <v>242</v>
      </c>
      <c r="G42" s="125" t="s">
        <v>245</v>
      </c>
      <c r="H42" s="125" t="s">
        <v>246</v>
      </c>
      <c r="I42" s="125" t="s">
        <v>135</v>
      </c>
      <c r="J42" s="128">
        <f>SUM(Tabela1[[#This Row],[jan./26]:[dez./26]])</f>
        <v>15360.9</v>
      </c>
      <c r="K42" s="15">
        <f>Tabela1[[#This Row],[Coluna1]]/Tabela1[[#Totals],[Coluna1]]</f>
        <v>1.113913627397374E-2</v>
      </c>
      <c r="L42" s="184">
        <v>3153.59</v>
      </c>
      <c r="M42" s="184">
        <v>3163.05</v>
      </c>
      <c r="N42" s="184">
        <v>3163.52</v>
      </c>
      <c r="O42" s="186">
        <v>3169.68</v>
      </c>
      <c r="P42" s="186">
        <v>2711.06</v>
      </c>
      <c r="Q42" s="186"/>
      <c r="R42" s="186"/>
      <c r="S42" s="186"/>
      <c r="T42" s="186"/>
      <c r="U42" s="186"/>
      <c r="V42" s="186"/>
      <c r="W42" s="186"/>
      <c r="Y42" s="188" t="s">
        <v>271</v>
      </c>
      <c r="Z42" s="19">
        <f t="shared" si="1"/>
        <v>3.5190066584274253E-3</v>
      </c>
      <c r="AA42" s="3">
        <f t="shared" si="2"/>
        <v>4852.7199999999993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247</v>
      </c>
      <c r="I43" s="125" t="s">
        <v>136</v>
      </c>
      <c r="J43" s="128">
        <f>SUM(Tabela1[[#This Row],[jan./26]:[dez./26]])</f>
        <v>2929.05</v>
      </c>
      <c r="K43" s="15">
        <f>Tabela1[[#This Row],[Coluna1]]/Tabela1[[#Totals],[Coluna1]]</f>
        <v>2.1240348614523096E-3</v>
      </c>
      <c r="L43" s="184">
        <v>101.89</v>
      </c>
      <c r="M43" s="184">
        <v>101.89</v>
      </c>
      <c r="N43" s="184">
        <v>101.88</v>
      </c>
      <c r="O43" s="186">
        <v>101.88</v>
      </c>
      <c r="P43" s="186">
        <v>2521.5100000000002</v>
      </c>
      <c r="Q43" s="186"/>
      <c r="R43" s="186"/>
      <c r="S43" s="186"/>
      <c r="T43" s="186"/>
      <c r="U43" s="186"/>
      <c r="V43" s="186"/>
      <c r="W43" s="186"/>
      <c r="Y43" s="188" t="s">
        <v>259</v>
      </c>
      <c r="Z43" s="19">
        <f t="shared" si="1"/>
        <v>3.0977312235894732E-3</v>
      </c>
      <c r="AA43" s="3">
        <f t="shared" si="2"/>
        <v>4271.78</v>
      </c>
      <c r="AH43" s="126"/>
    </row>
    <row r="44" spans="6:47" ht="15.75" customHeight="1">
      <c r="F44" s="125" t="s">
        <v>242</v>
      </c>
      <c r="G44" s="125" t="s">
        <v>243</v>
      </c>
      <c r="H44" s="125" t="s">
        <v>415</v>
      </c>
      <c r="I44" s="125" t="s">
        <v>151</v>
      </c>
      <c r="J44" s="128">
        <f>SUM(Tabela1[[#This Row],[jan./26]:[dez./26]])</f>
        <v>2329.13</v>
      </c>
      <c r="K44" s="15">
        <f>Tabela1[[#This Row],[Coluna1]]/Tabela1[[#Totals],[Coluna1]]</f>
        <v>1.6889958576515997E-3</v>
      </c>
      <c r="L44" s="184">
        <v>121.15</v>
      </c>
      <c r="M44" s="184">
        <v>123.43</v>
      </c>
      <c r="N44" s="184">
        <v>150.55000000000001</v>
      </c>
      <c r="O44" s="186">
        <v>124.69</v>
      </c>
      <c r="P44" s="186">
        <v>1809.31</v>
      </c>
      <c r="Q44" s="186"/>
      <c r="R44" s="186"/>
      <c r="S44" s="186"/>
      <c r="T44" s="186"/>
      <c r="U44" s="186"/>
      <c r="V44" s="186"/>
      <c r="W44" s="186"/>
      <c r="Y44" s="188" t="s">
        <v>262</v>
      </c>
      <c r="Z44" s="19">
        <f t="shared" si="1"/>
        <v>3.4121758375847797E-4</v>
      </c>
      <c r="AA44" s="3">
        <f t="shared" si="2"/>
        <v>470.54</v>
      </c>
      <c r="AD44" s="90"/>
    </row>
    <row r="45" spans="6:47" ht="15.75" customHeight="1">
      <c r="F45" s="125" t="s">
        <v>242</v>
      </c>
      <c r="G45" s="125" t="s">
        <v>252</v>
      </c>
      <c r="H45" s="125" t="s">
        <v>274</v>
      </c>
      <c r="I45" s="125" t="s">
        <v>138</v>
      </c>
      <c r="J45" s="128">
        <f>SUM(Tabela1[[#This Row],[jan./26]:[dez./26]])</f>
        <v>6362.8200000000006</v>
      </c>
      <c r="K45" s="15">
        <f>Tabela1[[#This Row],[Coluna1]]/Tabela1[[#Totals],[Coluna1]]</f>
        <v>4.6140733333831742E-3</v>
      </c>
      <c r="L45" s="184">
        <v>454.73</v>
      </c>
      <c r="M45" s="184">
        <v>866.15</v>
      </c>
      <c r="N45" s="184">
        <v>2258.1</v>
      </c>
      <c r="O45" s="186">
        <v>1554.79</v>
      </c>
      <c r="P45" s="186">
        <v>1229.05</v>
      </c>
      <c r="Q45" s="186"/>
      <c r="R45" s="186"/>
      <c r="S45" s="186"/>
      <c r="T45" s="186"/>
      <c r="U45" s="186"/>
      <c r="V45" s="186"/>
      <c r="W45" s="186"/>
      <c r="Y45" s="188" t="s">
        <v>257</v>
      </c>
      <c r="Z45" s="19">
        <f t="shared" si="1"/>
        <v>6.743496146226068E-4</v>
      </c>
      <c r="AA45" s="3">
        <f t="shared" si="2"/>
        <v>929.93000000000006</v>
      </c>
      <c r="AD45" s="141"/>
    </row>
    <row r="46" spans="6:47" ht="15.75" customHeight="1">
      <c r="F46" s="125" t="s">
        <v>242</v>
      </c>
      <c r="G46" s="125" t="s">
        <v>245</v>
      </c>
      <c r="H46" s="125" t="s">
        <v>403</v>
      </c>
      <c r="I46" s="125" t="s">
        <v>151</v>
      </c>
      <c r="J46" s="128">
        <f>SUM(Tabela1[[#This Row],[jan./26]:[dez./26]])</f>
        <v>13950.690000000002</v>
      </c>
      <c r="K46" s="15">
        <f>Tabela1[[#This Row],[Coluna1]]/Tabela1[[#Totals],[Coluna1]]</f>
        <v>1.0116506000687638E-2</v>
      </c>
      <c r="L46" s="184">
        <v>9114.18</v>
      </c>
      <c r="M46" s="184">
        <v>1209.1300000000001</v>
      </c>
      <c r="N46" s="184">
        <v>1209.1199999999999</v>
      </c>
      <c r="O46" s="186">
        <v>1209.1300000000001</v>
      </c>
      <c r="P46" s="186">
        <v>1209.1300000000001</v>
      </c>
      <c r="Q46" s="186"/>
      <c r="R46" s="186"/>
      <c r="S46" s="186"/>
      <c r="T46" s="186"/>
      <c r="U46" s="186"/>
      <c r="V46" s="186"/>
      <c r="W46" s="186"/>
      <c r="Y46" s="188" t="s">
        <v>264</v>
      </c>
      <c r="Z46" s="19">
        <f t="shared" si="1"/>
        <v>5.4593073013289525E-4</v>
      </c>
      <c r="AA46" s="3">
        <f t="shared" si="2"/>
        <v>752.84</v>
      </c>
      <c r="AD46" s="141"/>
    </row>
    <row r="47" spans="6:47" ht="15.75" customHeight="1">
      <c r="F47" s="125" t="s">
        <v>242</v>
      </c>
      <c r="G47" s="125" t="s">
        <v>243</v>
      </c>
      <c r="H47" s="125" t="s">
        <v>412</v>
      </c>
      <c r="I47" s="125" t="s">
        <v>135</v>
      </c>
      <c r="J47" s="128">
        <f>SUM(Tabela1[[#This Row],[jan./26]:[dez./26]])</f>
        <v>14373.720000000001</v>
      </c>
      <c r="K47" s="15">
        <f>Tabela1[[#This Row],[Coluna1]]/Tabela1[[#Totals],[Coluna1]]</f>
        <v>1.0423271152337548E-2</v>
      </c>
      <c r="L47" s="184">
        <v>1277.69</v>
      </c>
      <c r="M47" s="184">
        <v>2796.44</v>
      </c>
      <c r="N47" s="184">
        <v>6802.57</v>
      </c>
      <c r="O47" s="186">
        <v>2342.42</v>
      </c>
      <c r="P47" s="186">
        <v>1154.5999999999999</v>
      </c>
      <c r="Q47" s="186"/>
      <c r="R47" s="186"/>
      <c r="S47" s="186"/>
      <c r="T47" s="186"/>
      <c r="U47" s="186"/>
      <c r="V47" s="186"/>
      <c r="W47" s="186"/>
      <c r="Y47" s="188" t="s">
        <v>326</v>
      </c>
      <c r="Z47" s="19">
        <f t="shared" si="1"/>
        <v>1.8970955091396143E-4</v>
      </c>
      <c r="AA47" s="3">
        <f t="shared" si="2"/>
        <v>261.61</v>
      </c>
    </row>
    <row r="48" spans="6:47" ht="15.75" customHeight="1">
      <c r="F48" s="125" t="s">
        <v>242</v>
      </c>
      <c r="G48" s="125" t="s">
        <v>259</v>
      </c>
      <c r="H48" s="125" t="s">
        <v>268</v>
      </c>
      <c r="I48" s="125" t="s">
        <v>135</v>
      </c>
      <c r="J48" s="128">
        <f>SUM(Tabela1[[#This Row],[jan./26]:[dez./26]])</f>
        <v>1097.42</v>
      </c>
      <c r="K48" s="132">
        <f>Tabela1[[#This Row],[Coluna1]]/Tabela1[[#Totals],[Coluna1]]</f>
        <v>7.9580694684453792E-4</v>
      </c>
      <c r="L48" s="186">
        <v>35.39</v>
      </c>
      <c r="M48" s="186">
        <v>20.71</v>
      </c>
      <c r="N48" s="186">
        <v>20.71</v>
      </c>
      <c r="O48" s="186">
        <v>20.72</v>
      </c>
      <c r="P48" s="186">
        <v>999.89</v>
      </c>
      <c r="Q48" s="186"/>
      <c r="R48" s="186"/>
      <c r="S48" s="186"/>
      <c r="T48" s="186"/>
      <c r="U48" s="186"/>
      <c r="V48" s="186"/>
      <c r="W48" s="186"/>
      <c r="Y48" s="188" t="s">
        <v>269</v>
      </c>
      <c r="Z48" s="19">
        <f t="shared" si="1"/>
        <v>1.3637390827903975E-4</v>
      </c>
      <c r="AA48" s="3">
        <f t="shared" si="2"/>
        <v>188.06000000000003</v>
      </c>
    </row>
    <row r="49" spans="6:27" ht="15.75" customHeight="1">
      <c r="F49" s="125" t="s">
        <v>242</v>
      </c>
      <c r="G49" t="s">
        <v>271</v>
      </c>
      <c r="H49" s="125" t="s">
        <v>650</v>
      </c>
      <c r="I49" s="125" t="s">
        <v>135</v>
      </c>
      <c r="J49" s="128">
        <f>SUM(Tabela1[[#This Row],[jan./26]:[dez./26]])</f>
        <v>850.07</v>
      </c>
      <c r="L49" s="186"/>
      <c r="M49" s="186"/>
      <c r="N49" s="186"/>
      <c r="O49" s="186"/>
      <c r="P49" s="186">
        <v>850.07</v>
      </c>
      <c r="Q49" s="186"/>
      <c r="R49" s="186"/>
      <c r="S49" s="186"/>
      <c r="T49" s="186"/>
      <c r="U49" s="186"/>
      <c r="V49" s="186"/>
      <c r="W49" s="186"/>
      <c r="Y49" s="189" t="s">
        <v>267</v>
      </c>
      <c r="Z49" s="19">
        <f t="shared" si="1"/>
        <v>1.1617815508553099E-4</v>
      </c>
      <c r="AA49" s="3">
        <f t="shared" si="2"/>
        <v>160.21</v>
      </c>
    </row>
    <row r="50" spans="6:27" ht="15.75" customHeight="1">
      <c r="F50" s="125" t="s">
        <v>242</v>
      </c>
      <c r="G50" s="125" t="s">
        <v>243</v>
      </c>
      <c r="H50" s="125" t="s">
        <v>413</v>
      </c>
      <c r="I50" s="125" t="s">
        <v>136</v>
      </c>
      <c r="J50" s="128">
        <f>SUM(Tabela1[[#This Row],[jan./26]:[dez./26]])</f>
        <v>2363.77</v>
      </c>
      <c r="K50" s="15">
        <f>Tabela1[[#This Row],[Coluna1]]/Tabela1[[#Totals],[Coluna1]]</f>
        <v>1.714115458751174E-3</v>
      </c>
      <c r="L50" s="184">
        <v>374.66</v>
      </c>
      <c r="M50" s="184">
        <v>392.52</v>
      </c>
      <c r="N50" s="184">
        <v>276.98</v>
      </c>
      <c r="O50" s="186">
        <v>475.88</v>
      </c>
      <c r="P50" s="186">
        <v>843.73</v>
      </c>
      <c r="Q50" s="186"/>
      <c r="R50" s="186"/>
      <c r="S50" s="186"/>
      <c r="T50" s="186"/>
      <c r="U50" s="186"/>
      <c r="V50" s="186"/>
      <c r="W50" s="186"/>
      <c r="Y50" s="188" t="s">
        <v>445</v>
      </c>
      <c r="Z50" s="19">
        <f t="shared" si="1"/>
        <v>1.0565605889745874E-5</v>
      </c>
      <c r="AA50" s="3">
        <f t="shared" si="2"/>
        <v>14.57</v>
      </c>
    </row>
    <row r="51" spans="6:27" ht="15.75" customHeight="1">
      <c r="F51" s="125" t="s">
        <v>242</v>
      </c>
      <c r="G51" s="125" t="s">
        <v>252</v>
      </c>
      <c r="H51" s="125" t="s">
        <v>275</v>
      </c>
      <c r="I51" s="125" t="s">
        <v>138</v>
      </c>
      <c r="J51" s="128">
        <f>SUM(Tabela1[[#This Row],[jan./26]:[dez./26]])</f>
        <v>4212.57</v>
      </c>
      <c r="K51" s="15">
        <f>Tabela1[[#This Row],[Coluna1]]/Tabela1[[#Totals],[Coluna1]]</f>
        <v>3.0547943996545486E-3</v>
      </c>
      <c r="L51" s="184">
        <v>984.76</v>
      </c>
      <c r="M51" s="184">
        <v>957.4</v>
      </c>
      <c r="N51" s="184">
        <v>769.88</v>
      </c>
      <c r="O51" s="186">
        <v>833.39</v>
      </c>
      <c r="P51" s="186">
        <v>667.14</v>
      </c>
      <c r="Q51" s="186"/>
      <c r="R51" s="186"/>
      <c r="S51" s="186"/>
      <c r="T51" s="186"/>
      <c r="U51" s="186"/>
      <c r="V51" s="186"/>
      <c r="W51" s="186"/>
      <c r="Y51" s="189" t="s">
        <v>273</v>
      </c>
      <c r="Z51" s="19">
        <f t="shared" si="1"/>
        <v>7.9985334910018535E-6</v>
      </c>
      <c r="AA51" s="3">
        <f t="shared" si="2"/>
        <v>11.030000000000001</v>
      </c>
    </row>
    <row r="52" spans="6:27" ht="15.75" customHeight="1">
      <c r="F52" s="125" t="s">
        <v>242</v>
      </c>
      <c r="G52" s="125" t="s">
        <v>566</v>
      </c>
      <c r="H52" s="125" t="s">
        <v>272</v>
      </c>
      <c r="I52" s="125" t="s">
        <v>235</v>
      </c>
      <c r="J52" s="128">
        <f>SUM(Tabela1[[#This Row],[jan./26]:[dez./26]])</f>
        <v>660.14</v>
      </c>
      <c r="K52" s="15">
        <f>Tabela1[[#This Row],[Coluna1]]/Tabela1[[#Totals],[Coluna1]]</f>
        <v>4.7870824104714074E-4</v>
      </c>
      <c r="L52" s="184">
        <v>1.46</v>
      </c>
      <c r="M52" s="184">
        <v>1.69</v>
      </c>
      <c r="N52" s="184">
        <v>1.69</v>
      </c>
      <c r="O52" s="186">
        <v>6.43</v>
      </c>
      <c r="P52" s="186">
        <v>648.87</v>
      </c>
      <c r="Q52" s="186"/>
      <c r="R52" s="186"/>
      <c r="S52" s="186"/>
      <c r="T52" s="186"/>
      <c r="U52" s="186"/>
      <c r="V52" s="186"/>
      <c r="W52" s="186"/>
      <c r="Y52" s="130" t="s">
        <v>150</v>
      </c>
      <c r="Z52" s="142">
        <f>SUBTOTAL(109,Tabela5[%])</f>
        <v>0.98323694472003142</v>
      </c>
      <c r="AA52" s="126">
        <f>SUBTOTAL(109,Tabela5[R$])</f>
        <v>1355886.4900000002</v>
      </c>
    </row>
    <row r="53" spans="6:27" ht="15.75" customHeight="1">
      <c r="F53" s="125" t="s">
        <v>242</v>
      </c>
      <c r="G53" s="125" t="s">
        <v>245</v>
      </c>
      <c r="H53" s="125" t="s">
        <v>251</v>
      </c>
      <c r="I53" s="125" t="s">
        <v>134</v>
      </c>
      <c r="J53" s="128">
        <f>SUM(Tabela1[[#This Row],[jan./26]:[dez./26]])</f>
        <v>3280.25</v>
      </c>
      <c r="K53" s="15">
        <f>Tabela1[[#This Row],[Coluna1]]/Tabela1[[#Totals],[Coluna1]]</f>
        <v>2.3787116485819424E-3</v>
      </c>
      <c r="L53" s="184">
        <v>705.78</v>
      </c>
      <c r="M53" s="184">
        <v>707.01</v>
      </c>
      <c r="N53" s="184">
        <v>707.02</v>
      </c>
      <c r="O53" s="186">
        <v>578.96</v>
      </c>
      <c r="P53" s="186">
        <v>581.48</v>
      </c>
      <c r="Q53" s="186"/>
      <c r="R53" s="186"/>
      <c r="S53" s="186"/>
      <c r="T53" s="186"/>
      <c r="U53" s="186"/>
      <c r="V53" s="186"/>
      <c r="W53" s="186"/>
    </row>
    <row r="54" spans="6:27" ht="15.75" customHeight="1">
      <c r="F54" s="125" t="s">
        <v>242</v>
      </c>
      <c r="G54" s="125" t="s">
        <v>566</v>
      </c>
      <c r="H54" s="125" t="s">
        <v>278</v>
      </c>
      <c r="I54" s="125" t="s">
        <v>136</v>
      </c>
      <c r="J54" s="128">
        <f>SUM(Tabela1[[#This Row],[jan./26]:[dez./26]])</f>
        <v>3564.03</v>
      </c>
      <c r="K54" s="15">
        <f>Tabela1[[#This Row],[Coluna1]]/Tabela1[[#Totals],[Coluna1]]</f>
        <v>2.5844980342643094E-3</v>
      </c>
      <c r="L54" s="184">
        <v>874.06</v>
      </c>
      <c r="M54" s="184">
        <v>785.84</v>
      </c>
      <c r="N54" s="184">
        <v>603.08000000000004</v>
      </c>
      <c r="O54" s="186">
        <v>740.61</v>
      </c>
      <c r="P54" s="186">
        <v>560.44000000000005</v>
      </c>
      <c r="Q54" s="186"/>
      <c r="R54" s="186"/>
      <c r="S54" s="186"/>
      <c r="T54" s="186"/>
      <c r="U54" s="186"/>
      <c r="V54" s="186"/>
      <c r="W54" s="186"/>
    </row>
    <row r="55" spans="6:27" ht="15.75" customHeight="1">
      <c r="F55" s="125" t="s">
        <v>242</v>
      </c>
      <c r="G55" s="125" t="s">
        <v>257</v>
      </c>
      <c r="H55" s="125" t="s">
        <v>286</v>
      </c>
      <c r="I55" s="125" t="s">
        <v>235</v>
      </c>
      <c r="J55" s="128">
        <f>SUM(Tabela1[[#This Row],[jan./26]:[dez./26]])</f>
        <v>929.93000000000006</v>
      </c>
      <c r="K55" s="132">
        <f>Tabela1[[#This Row],[Coluna1]]/Tabela1[[#Totals],[Coluna1]]</f>
        <v>6.743496146226068E-4</v>
      </c>
      <c r="L55" s="186">
        <v>0</v>
      </c>
      <c r="M55" s="186">
        <v>0</v>
      </c>
      <c r="N55" s="186">
        <v>427.8</v>
      </c>
      <c r="O55" s="186">
        <v>0</v>
      </c>
      <c r="P55" s="186">
        <v>502.13</v>
      </c>
      <c r="Q55" s="186"/>
      <c r="R55" s="186"/>
      <c r="S55" s="186"/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566</v>
      </c>
      <c r="H56" s="125" t="s">
        <v>281</v>
      </c>
      <c r="I56" s="125" t="s">
        <v>135</v>
      </c>
      <c r="J56" s="128">
        <f>SUM(Tabela1[[#This Row],[jan./26]:[dez./26]])</f>
        <v>6758.4400000000005</v>
      </c>
      <c r="K56" s="15">
        <f>Tabela1[[#This Row],[Coluna1]]/Tabela1[[#Totals],[Coluna1]]</f>
        <v>4.9009618029851824E-3</v>
      </c>
      <c r="L56" s="184">
        <v>2663.92</v>
      </c>
      <c r="M56" s="184">
        <v>1064.0999999999999</v>
      </c>
      <c r="N56" s="184">
        <v>2261.08</v>
      </c>
      <c r="O56" s="186">
        <v>399.16</v>
      </c>
      <c r="P56" s="186">
        <v>370.18</v>
      </c>
      <c r="Q56" s="186"/>
      <c r="R56" s="186"/>
      <c r="S56" s="186"/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271</v>
      </c>
      <c r="H57" s="125" t="s">
        <v>424</v>
      </c>
      <c r="I57" s="125" t="s">
        <v>135</v>
      </c>
      <c r="J57" s="128">
        <f>SUM(Tabela1[[#This Row],[jan./26]:[dez./26]])</f>
        <v>935.1</v>
      </c>
      <c r="K57" s="15">
        <f>Tabela1[[#This Row],[Coluna1]]/Tabela1[[#Totals],[Coluna1]]</f>
        <v>6.7809870058348437E-4</v>
      </c>
      <c r="L57" s="184">
        <v>359.36</v>
      </c>
      <c r="M57" s="184">
        <v>73.239999999999995</v>
      </c>
      <c r="N57" s="184">
        <v>73.239999999999995</v>
      </c>
      <c r="O57" s="186">
        <v>73.239999999999995</v>
      </c>
      <c r="P57" s="186">
        <v>356.02</v>
      </c>
      <c r="Q57" s="186"/>
      <c r="R57" s="186"/>
      <c r="S57" s="186"/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271</v>
      </c>
      <c r="H58" s="125" t="s">
        <v>426</v>
      </c>
      <c r="I58" s="125" t="s">
        <v>134</v>
      </c>
      <c r="J58" s="128">
        <f>SUM(Tabela1[[#This Row],[jan./26]:[dez./26]])</f>
        <v>565.55999999999995</v>
      </c>
      <c r="K58" s="132">
        <f>Tabela1[[#This Row],[Coluna1]]/Tabela1[[#Totals],[Coluna1]]</f>
        <v>4.1012244797561262E-4</v>
      </c>
      <c r="L58" s="184">
        <v>0</v>
      </c>
      <c r="M58" s="184">
        <v>0</v>
      </c>
      <c r="N58" s="184">
        <v>104.83</v>
      </c>
      <c r="O58" s="186">
        <v>104.83</v>
      </c>
      <c r="P58" s="186">
        <v>355.9</v>
      </c>
      <c r="Q58" s="186"/>
      <c r="R58" s="186"/>
      <c r="S58" s="186"/>
      <c r="T58" s="186"/>
      <c r="U58" s="186"/>
      <c r="V58" s="186"/>
      <c r="W58" s="186"/>
    </row>
    <row r="59" spans="6:27" ht="15.75" customHeight="1">
      <c r="F59" s="125" t="s">
        <v>242</v>
      </c>
      <c r="G59" s="125" t="s">
        <v>245</v>
      </c>
      <c r="H59" s="125" t="s">
        <v>250</v>
      </c>
      <c r="I59" s="125" t="s">
        <v>151</v>
      </c>
      <c r="J59" s="128">
        <f>SUM(Tabela1[[#This Row],[jan./26]:[dez./26]])</f>
        <v>979.74</v>
      </c>
      <c r="K59" s="15">
        <f>Tabela1[[#This Row],[Coluna1]]/Tabela1[[#Totals],[Coluna1]]</f>
        <v>7.1046991862866319E-4</v>
      </c>
      <c r="L59" s="184">
        <v>123.72</v>
      </c>
      <c r="M59" s="184">
        <v>180.18</v>
      </c>
      <c r="N59" s="184">
        <v>182.04</v>
      </c>
      <c r="O59" s="186">
        <v>189.05</v>
      </c>
      <c r="P59" s="186">
        <v>304.75</v>
      </c>
      <c r="Q59" s="186"/>
      <c r="R59" s="186"/>
      <c r="S59" s="186"/>
      <c r="T59" s="186"/>
      <c r="U59" s="186"/>
      <c r="V59" s="186"/>
      <c r="W59" s="186"/>
    </row>
    <row r="60" spans="6:27" ht="15.75" customHeight="1">
      <c r="F60" s="125" t="s">
        <v>242</v>
      </c>
      <c r="G60" s="125" t="s">
        <v>271</v>
      </c>
      <c r="H60" s="125" t="s">
        <v>294</v>
      </c>
      <c r="I60" s="125" t="s">
        <v>138</v>
      </c>
      <c r="J60" s="128">
        <f>SUM(Tabela1[[#This Row],[jan./26]:[dez./26]])</f>
        <v>335.35</v>
      </c>
      <c r="K60" s="15">
        <f>Tabela1[[#This Row],[Coluna1]]/Tabela1[[#Totals],[Coluna1]]</f>
        <v>2.4318297427084961E-4</v>
      </c>
      <c r="L60" s="184">
        <v>0</v>
      </c>
      <c r="M60" s="184">
        <v>0</v>
      </c>
      <c r="N60" s="184">
        <v>15.61</v>
      </c>
      <c r="O60" s="186">
        <v>15.61</v>
      </c>
      <c r="P60" s="186">
        <v>304.13</v>
      </c>
      <c r="Q60" s="186"/>
      <c r="R60" s="186"/>
      <c r="S60" s="186"/>
      <c r="T60" s="186"/>
      <c r="U60" s="186"/>
      <c r="V60" s="186"/>
      <c r="W60" s="186"/>
    </row>
    <row r="61" spans="6:27" ht="15.75" customHeight="1">
      <c r="F61" s="125" t="s">
        <v>242</v>
      </c>
      <c r="G61" t="s">
        <v>259</v>
      </c>
      <c r="H61" s="125" t="s">
        <v>652</v>
      </c>
      <c r="I61" s="125" t="s">
        <v>232</v>
      </c>
      <c r="J61" s="128">
        <f>SUM(Tabela1[[#This Row],[jan./26]:[dez./26]])</f>
        <v>287.52999999999997</v>
      </c>
      <c r="L61" s="186"/>
      <c r="M61" s="186"/>
      <c r="N61" s="186"/>
      <c r="O61" s="186"/>
      <c r="P61" s="186">
        <v>287.52999999999997</v>
      </c>
      <c r="Q61" s="186"/>
      <c r="R61" s="186"/>
      <c r="S61" s="186"/>
      <c r="T61" s="186"/>
      <c r="U61" s="186"/>
      <c r="V61" s="186"/>
      <c r="W61" s="186"/>
    </row>
    <row r="62" spans="6:27" ht="15.75" customHeight="1">
      <c r="F62" s="125" t="s">
        <v>242</v>
      </c>
      <c r="G62" s="125" t="s">
        <v>245</v>
      </c>
      <c r="H62" s="125" t="s">
        <v>255</v>
      </c>
      <c r="I62" s="125" t="s">
        <v>232</v>
      </c>
      <c r="J62" s="128">
        <f>SUM(Tabela1[[#This Row],[jan./26]:[dez./26]])</f>
        <v>1238.6599999999999</v>
      </c>
      <c r="K62" s="15">
        <f>Tabela1[[#This Row],[Coluna1]]/Tabela1[[#Totals],[Coluna1]]</f>
        <v>8.9822878458425688E-4</v>
      </c>
      <c r="L62" s="184">
        <v>232.31</v>
      </c>
      <c r="M62" s="184">
        <v>135.49</v>
      </c>
      <c r="N62" s="184">
        <v>248.25</v>
      </c>
      <c r="O62" s="186">
        <v>345.07</v>
      </c>
      <c r="P62" s="186">
        <v>277.54000000000002</v>
      </c>
      <c r="Q62" s="186"/>
      <c r="R62" s="186"/>
      <c r="S62" s="186"/>
      <c r="T62" s="186"/>
      <c r="U62" s="186"/>
      <c r="V62" s="186"/>
      <c r="W62" s="186"/>
    </row>
    <row r="63" spans="6:27" ht="15.75" customHeight="1">
      <c r="F63" s="125" t="s">
        <v>242</v>
      </c>
      <c r="G63" s="125" t="s">
        <v>566</v>
      </c>
      <c r="H63" s="125" t="s">
        <v>282</v>
      </c>
      <c r="I63" s="125" t="s">
        <v>235</v>
      </c>
      <c r="J63" s="128">
        <f>SUM(Tabela1[[#This Row],[jan./26]:[dez./26]])</f>
        <v>938.61000000000013</v>
      </c>
      <c r="K63" s="15">
        <f>Tabela1[[#This Row],[Coluna1]]/Tabela1[[#Totals],[Coluna1]]</f>
        <v>6.8064401813139157E-4</v>
      </c>
      <c r="L63" s="184">
        <v>0</v>
      </c>
      <c r="M63" s="184">
        <v>117.16</v>
      </c>
      <c r="N63" s="184">
        <v>247.3</v>
      </c>
      <c r="O63" s="186">
        <v>297.35000000000002</v>
      </c>
      <c r="P63" s="186">
        <v>276.8</v>
      </c>
      <c r="Q63" s="186"/>
      <c r="R63" s="186"/>
      <c r="S63" s="186"/>
      <c r="T63" s="186"/>
      <c r="U63" s="186"/>
      <c r="V63" s="186"/>
      <c r="W63" s="186"/>
    </row>
    <row r="64" spans="6:27" ht="15.75" customHeight="1">
      <c r="F64" s="125" t="s">
        <v>242</v>
      </c>
      <c r="G64" s="125" t="s">
        <v>245</v>
      </c>
      <c r="H64" s="125" t="s">
        <v>261</v>
      </c>
      <c r="I64" s="125" t="s">
        <v>232</v>
      </c>
      <c r="J64" s="128">
        <f>SUM(Tabela1[[#This Row],[jan./26]:[dez./26]])</f>
        <v>871.85</v>
      </c>
      <c r="K64" s="15">
        <f>Tabela1[[#This Row],[Coluna1]]/Tabela1[[#Totals],[Coluna1]]</f>
        <v>6.3223222340253534E-4</v>
      </c>
      <c r="L64" s="184">
        <v>152.80000000000001</v>
      </c>
      <c r="M64" s="184">
        <v>152.80000000000001</v>
      </c>
      <c r="N64" s="184">
        <v>152.81</v>
      </c>
      <c r="O64" s="186">
        <v>152.94</v>
      </c>
      <c r="P64" s="186">
        <v>260.5</v>
      </c>
      <c r="Q64" s="186"/>
      <c r="R64" s="186"/>
      <c r="S64" s="186"/>
      <c r="T64" s="186"/>
      <c r="U64" s="186"/>
      <c r="V64" s="186"/>
      <c r="W64" s="186"/>
    </row>
    <row r="65" spans="6:23" ht="15.75" customHeight="1">
      <c r="F65" s="125" t="s">
        <v>242</v>
      </c>
      <c r="G65" t="s">
        <v>259</v>
      </c>
      <c r="H65" s="125" t="s">
        <v>653</v>
      </c>
      <c r="I65" s="125" t="s">
        <v>135</v>
      </c>
      <c r="J65" s="128">
        <f>SUM(Tabela1[[#This Row],[jan./26]:[dez./26]])</f>
        <v>244.35</v>
      </c>
      <c r="L65" s="186"/>
      <c r="M65" s="186"/>
      <c r="N65" s="186"/>
      <c r="O65" s="186"/>
      <c r="P65" s="186">
        <v>244.35</v>
      </c>
      <c r="Q65" s="186"/>
      <c r="R65" s="186"/>
      <c r="S65" s="186"/>
      <c r="T65" s="186"/>
      <c r="U65" s="186"/>
      <c r="V65" s="186"/>
      <c r="W65" s="186"/>
    </row>
    <row r="66" spans="6:23" ht="15.75" customHeight="1">
      <c r="F66" s="125" t="s">
        <v>242</v>
      </c>
      <c r="G66" s="125" t="s">
        <v>243</v>
      </c>
      <c r="H66" s="125" t="s">
        <v>414</v>
      </c>
      <c r="I66" s="125" t="s">
        <v>235</v>
      </c>
      <c r="J66" s="128">
        <f>SUM(Tabela1[[#This Row],[jan./26]:[dez./26]])</f>
        <v>1239.45</v>
      </c>
      <c r="K66" s="15">
        <f>Tabela1[[#This Row],[Coluna1]]/Tabela1[[#Totals],[Coluna1]]</f>
        <v>8.9880166232295979E-4</v>
      </c>
      <c r="L66" s="184">
        <v>116.11</v>
      </c>
      <c r="M66" s="184">
        <v>454.62</v>
      </c>
      <c r="N66" s="184">
        <v>308.51</v>
      </c>
      <c r="O66" s="186">
        <v>130.16999999999999</v>
      </c>
      <c r="P66" s="186">
        <v>230.04</v>
      </c>
      <c r="Q66" s="186"/>
      <c r="R66" s="186"/>
      <c r="S66" s="186"/>
      <c r="T66" s="186"/>
      <c r="U66" s="186"/>
      <c r="V66" s="186"/>
      <c r="W66" s="186"/>
    </row>
    <row r="67" spans="6:23" ht="15.75" customHeight="1">
      <c r="F67" s="125" t="s">
        <v>242</v>
      </c>
      <c r="G67" s="125" t="s">
        <v>245</v>
      </c>
      <c r="H67" s="125" t="s">
        <v>254</v>
      </c>
      <c r="I67" s="125" t="s">
        <v>138</v>
      </c>
      <c r="J67" s="128">
        <f>SUM(Tabela1[[#This Row],[jan./26]:[dez./26]])</f>
        <v>1202.79</v>
      </c>
      <c r="K67" s="15">
        <f>Tabela1[[#This Row],[Coluna1]]/Tabela1[[#Totals],[Coluna1]]</f>
        <v>8.7221723460037331E-4</v>
      </c>
      <c r="L67" s="184">
        <v>333.93</v>
      </c>
      <c r="M67" s="184">
        <v>333.9</v>
      </c>
      <c r="N67" s="184">
        <v>203.73</v>
      </c>
      <c r="O67" s="186">
        <v>127.51</v>
      </c>
      <c r="P67" s="186">
        <v>203.72</v>
      </c>
      <c r="Q67" s="186"/>
      <c r="R67" s="186"/>
      <c r="S67" s="186"/>
      <c r="T67" s="186"/>
      <c r="U67" s="186"/>
      <c r="V67" s="186"/>
      <c r="W67" s="186"/>
    </row>
    <row r="68" spans="6:23" ht="15.75" customHeight="1">
      <c r="F68" s="125" t="s">
        <v>242</v>
      </c>
      <c r="G68" s="125" t="s">
        <v>245</v>
      </c>
      <c r="H68" s="125" t="s">
        <v>260</v>
      </c>
      <c r="I68" s="125" t="s">
        <v>232</v>
      </c>
      <c r="J68" s="128">
        <f>SUM(Tabela1[[#This Row],[jan./26]:[dez./26]])</f>
        <v>853.13999999999987</v>
      </c>
      <c r="K68" s="15">
        <f>Tabela1[[#This Row],[Coluna1]]/Tabela1[[#Totals],[Coluna1]]</f>
        <v>6.1866444809730904E-4</v>
      </c>
      <c r="L68" s="184">
        <v>178.95</v>
      </c>
      <c r="M68" s="184">
        <v>168.55</v>
      </c>
      <c r="N68" s="184">
        <v>168.54</v>
      </c>
      <c r="O68" s="186">
        <v>168.55</v>
      </c>
      <c r="P68" s="186">
        <v>168.55</v>
      </c>
      <c r="Q68" s="186"/>
      <c r="R68" s="186"/>
      <c r="S68" s="186"/>
      <c r="T68" s="186"/>
      <c r="U68" s="186"/>
      <c r="V68" s="186"/>
      <c r="W68" s="186"/>
    </row>
    <row r="69" spans="6:23" ht="15.75" customHeight="1">
      <c r="F69" s="125" t="s">
        <v>242</v>
      </c>
      <c r="G69" s="125" t="s">
        <v>566</v>
      </c>
      <c r="H69" s="125" t="s">
        <v>280</v>
      </c>
      <c r="I69" s="125" t="s">
        <v>235</v>
      </c>
      <c r="J69" s="128">
        <f>SUM(Tabela1[[#This Row],[jan./26]:[dez./26]])</f>
        <v>857.87</v>
      </c>
      <c r="K69" s="15">
        <f>Tabela1[[#This Row],[Coluna1]]/Tabela1[[#Totals],[Coluna1]]</f>
        <v>6.2209446291258013E-4</v>
      </c>
      <c r="L69" s="184">
        <v>131.31</v>
      </c>
      <c r="M69" s="184">
        <v>141.57</v>
      </c>
      <c r="N69" s="184">
        <v>291.13</v>
      </c>
      <c r="O69" s="186">
        <v>133.47999999999999</v>
      </c>
      <c r="P69" s="186">
        <v>160.38</v>
      </c>
      <c r="Q69" s="186"/>
      <c r="R69" s="186"/>
      <c r="S69" s="186"/>
      <c r="T69" s="186"/>
      <c r="U69" s="186"/>
      <c r="V69" s="186"/>
      <c r="W69" s="186"/>
    </row>
    <row r="70" spans="6:23" ht="15.75" customHeight="1">
      <c r="F70" s="125" t="s">
        <v>242</v>
      </c>
      <c r="G70" s="125" t="s">
        <v>25</v>
      </c>
      <c r="H70" s="125" t="s">
        <v>285</v>
      </c>
      <c r="I70" s="125" t="s">
        <v>235</v>
      </c>
      <c r="J70" s="128">
        <f>SUM(Tabela1[[#This Row],[jan./26]:[dez./26]])</f>
        <v>614.21</v>
      </c>
      <c r="K70" s="15">
        <f>Tabela1[[#This Row],[Coluna1]]/Tabela1[[#Totals],[Coluna1]]</f>
        <v>4.4540156441597896E-4</v>
      </c>
      <c r="L70" s="184">
        <v>89.29</v>
      </c>
      <c r="M70" s="184">
        <v>89.29</v>
      </c>
      <c r="N70" s="184">
        <v>142.30000000000001</v>
      </c>
      <c r="O70" s="186">
        <v>143.72999999999999</v>
      </c>
      <c r="P70" s="186">
        <v>149.6</v>
      </c>
      <c r="Q70" s="186"/>
      <c r="R70" s="186"/>
      <c r="S70" s="186"/>
      <c r="T70" s="186"/>
      <c r="U70" s="186"/>
      <c r="V70" s="186"/>
      <c r="W70" s="186"/>
    </row>
    <row r="71" spans="6:23" ht="15.75" customHeight="1">
      <c r="F71" s="125" t="s">
        <v>242</v>
      </c>
      <c r="G71" s="125" t="s">
        <v>245</v>
      </c>
      <c r="H71" s="125" t="s">
        <v>263</v>
      </c>
      <c r="I71" s="125" t="s">
        <v>138</v>
      </c>
      <c r="J71" s="128">
        <f>SUM(Tabela1[[#This Row],[jan./26]:[dez./26]])</f>
        <v>735.05</v>
      </c>
      <c r="K71" s="15">
        <f>Tabela1[[#This Row],[Coluna1]]/Tabela1[[#Totals],[Coluna1]]</f>
        <v>5.3303010358666462E-4</v>
      </c>
      <c r="L71" s="184">
        <v>147.01</v>
      </c>
      <c r="M71" s="184">
        <v>147.01</v>
      </c>
      <c r="N71" s="184">
        <v>147.01</v>
      </c>
      <c r="O71" s="186">
        <v>147.01</v>
      </c>
      <c r="P71" s="186">
        <v>147.01</v>
      </c>
      <c r="Q71" s="186"/>
      <c r="R71" s="186"/>
      <c r="S71" s="186"/>
      <c r="T71" s="186"/>
      <c r="U71" s="186"/>
      <c r="V71" s="186"/>
      <c r="W71" s="186"/>
    </row>
    <row r="72" spans="6:23" ht="15.75" customHeight="1">
      <c r="F72" s="125" t="s">
        <v>242</v>
      </c>
      <c r="G72" s="125" t="s">
        <v>264</v>
      </c>
      <c r="H72" s="125" t="s">
        <v>283</v>
      </c>
      <c r="I72" s="125" t="s">
        <v>134</v>
      </c>
      <c r="J72" s="128">
        <f>SUM(Tabela1[[#This Row],[jan./26]:[dez./26]])</f>
        <v>285.01</v>
      </c>
      <c r="K72" s="15">
        <f>Tabela1[[#This Row],[Coluna1]]/Tabela1[[#Totals],[Coluna1]]</f>
        <v>2.0667833456667614E-4</v>
      </c>
      <c r="L72" s="184">
        <v>41.77</v>
      </c>
      <c r="M72" s="184">
        <v>40.74</v>
      </c>
      <c r="N72" s="184">
        <v>37.869999999999997</v>
      </c>
      <c r="O72" s="186">
        <v>44.99</v>
      </c>
      <c r="P72" s="186">
        <v>119.64</v>
      </c>
      <c r="Q72" s="186"/>
      <c r="R72" s="186"/>
      <c r="S72" s="186"/>
      <c r="T72" s="186"/>
      <c r="U72" s="186"/>
      <c r="V72" s="186"/>
      <c r="W72" s="186"/>
    </row>
    <row r="73" spans="6:23" ht="15.75" customHeight="1">
      <c r="F73" s="125" t="s">
        <v>242</v>
      </c>
      <c r="G73" s="125" t="s">
        <v>264</v>
      </c>
      <c r="H73" s="125" t="s">
        <v>283</v>
      </c>
      <c r="I73" s="125" t="s">
        <v>134</v>
      </c>
      <c r="J73" s="128">
        <f>SUM(Tabela1[[#This Row],[jan./26]:[dez./26]])</f>
        <v>41.95</v>
      </c>
      <c r="K73" s="132">
        <f>Tabela1[[#This Row],[Coluna1]]/Tabela1[[#Totals],[Coluna1]]</f>
        <v>3.0420533086811216E-5</v>
      </c>
      <c r="L73" s="186">
        <v>0</v>
      </c>
      <c r="M73" s="186">
        <v>41.95</v>
      </c>
      <c r="N73" s="186">
        <v>0</v>
      </c>
      <c r="O73" s="186">
        <v>0</v>
      </c>
      <c r="P73" s="186"/>
      <c r="Q73" s="186"/>
      <c r="R73" s="186"/>
      <c r="S73" s="186"/>
      <c r="T73" s="186"/>
      <c r="U73" s="186"/>
      <c r="V73" s="186"/>
      <c r="W73" s="186"/>
    </row>
    <row r="74" spans="6:23" ht="15.75" customHeight="1">
      <c r="F74" s="125" t="s">
        <v>242</v>
      </c>
      <c r="G74" s="125" t="s">
        <v>245</v>
      </c>
      <c r="H74" s="125" t="s">
        <v>258</v>
      </c>
      <c r="I74" s="125" t="s">
        <v>235</v>
      </c>
      <c r="J74" s="128">
        <f>SUM(Tabela1[[#This Row],[jan./26]:[dez./26]])</f>
        <v>687.47</v>
      </c>
      <c r="K74" s="15">
        <f>Tabela1[[#This Row],[Coluna1]]/Tabela1[[#Totals],[Coluna1]]</f>
        <v>4.9852691015947806E-4</v>
      </c>
      <c r="L74" s="184">
        <v>212.05</v>
      </c>
      <c r="M74" s="184">
        <v>105.72</v>
      </c>
      <c r="N74" s="184">
        <v>158.24</v>
      </c>
      <c r="O74" s="186">
        <v>105.73</v>
      </c>
      <c r="P74" s="186">
        <v>105.73</v>
      </c>
      <c r="Q74" s="186"/>
      <c r="R74" s="186"/>
      <c r="S74" s="186"/>
      <c r="T74" s="186"/>
      <c r="U74" s="186"/>
      <c r="V74" s="186"/>
      <c r="W74" s="186"/>
    </row>
    <row r="75" spans="6:23" ht="15.75" customHeight="1">
      <c r="F75" s="125" t="s">
        <v>242</v>
      </c>
      <c r="G75" s="125" t="s">
        <v>243</v>
      </c>
      <c r="H75" s="125" t="s">
        <v>416</v>
      </c>
      <c r="I75" s="125" t="s">
        <v>134</v>
      </c>
      <c r="J75" s="128">
        <f>SUM(Tabela1[[#This Row],[jan./26]:[dez./26]])</f>
        <v>562.5</v>
      </c>
      <c r="K75" s="15">
        <f>Tabela1[[#This Row],[Coluna1]]/Tabela1[[#Totals],[Coluna1]]</f>
        <v>4.0790345319025766E-4</v>
      </c>
      <c r="L75" s="184">
        <v>127.7</v>
      </c>
      <c r="M75" s="184">
        <v>147.27000000000001</v>
      </c>
      <c r="N75" s="184">
        <v>102.5</v>
      </c>
      <c r="O75" s="186">
        <v>94.41</v>
      </c>
      <c r="P75" s="186">
        <v>90.62</v>
      </c>
      <c r="Q75" s="186"/>
      <c r="R75" s="186"/>
      <c r="S75" s="186"/>
      <c r="T75" s="186"/>
      <c r="U75" s="186"/>
      <c r="V75" s="186"/>
      <c r="W75" s="186"/>
    </row>
    <row r="76" spans="6:23" ht="15.75" customHeight="1">
      <c r="F76" s="125" t="s">
        <v>242</v>
      </c>
      <c r="G76" s="125" t="s">
        <v>259</v>
      </c>
      <c r="H76" s="125" t="s">
        <v>431</v>
      </c>
      <c r="I76" s="125" t="s">
        <v>140</v>
      </c>
      <c r="J76" s="128">
        <f>SUM(Tabela1[[#This Row],[jan./26]:[dez./26]])</f>
        <v>442.8</v>
      </c>
      <c r="K76" s="132">
        <f>Tabela1[[#This Row],[Coluna1]]/Tabela1[[#Totals],[Coluna1]]</f>
        <v>3.2110159835137085E-4</v>
      </c>
      <c r="L76" s="184">
        <v>160.16999999999999</v>
      </c>
      <c r="M76" s="184">
        <v>0</v>
      </c>
      <c r="N76" s="184">
        <v>0</v>
      </c>
      <c r="O76" s="186">
        <v>197.84</v>
      </c>
      <c r="P76" s="186">
        <v>84.79</v>
      </c>
      <c r="Q76" s="186"/>
      <c r="R76" s="186"/>
      <c r="S76" s="186"/>
      <c r="T76" s="186"/>
      <c r="U76" s="186"/>
      <c r="V76" s="186"/>
      <c r="W76" s="186"/>
    </row>
    <row r="77" spans="6:23" ht="15.75" customHeight="1">
      <c r="F77" s="125" t="s">
        <v>242</v>
      </c>
      <c r="G77" s="125" t="s">
        <v>566</v>
      </c>
      <c r="H77" s="125" t="s">
        <v>277</v>
      </c>
      <c r="I77" s="125" t="s">
        <v>134</v>
      </c>
      <c r="J77" s="128">
        <f>SUM(Tabela1[[#This Row],[jan./26]:[dez./26]])</f>
        <v>356.34999999999997</v>
      </c>
      <c r="K77" s="15">
        <f>Tabela1[[#This Row],[Coluna1]]/Tabela1[[#Totals],[Coluna1]]</f>
        <v>2.5841136985661918E-4</v>
      </c>
      <c r="L77" s="184">
        <v>157.93</v>
      </c>
      <c r="M77" s="184">
        <v>38.119999999999997</v>
      </c>
      <c r="N77" s="184">
        <v>35.380000000000003</v>
      </c>
      <c r="O77" s="186">
        <v>41.96</v>
      </c>
      <c r="P77" s="186">
        <v>82.96</v>
      </c>
      <c r="Q77" s="186"/>
      <c r="R77" s="186"/>
      <c r="S77" s="186"/>
      <c r="T77" s="186"/>
      <c r="U77" s="186"/>
      <c r="V77" s="186"/>
      <c r="W77" s="186"/>
    </row>
    <row r="78" spans="6:23" ht="15.75" customHeight="1">
      <c r="F78" s="125" t="s">
        <v>242</v>
      </c>
      <c r="G78" s="125" t="s">
        <v>243</v>
      </c>
      <c r="H78" s="125" t="s">
        <v>418</v>
      </c>
      <c r="I78" s="125" t="s">
        <v>138</v>
      </c>
      <c r="J78" s="128">
        <f>SUM(Tabela1[[#This Row],[jan./26]:[dez./26]])</f>
        <v>246.63</v>
      </c>
      <c r="K78" s="15">
        <f>Tabela1[[#This Row],[Coluna1]]/Tabela1[[#Totals],[Coluna1]]</f>
        <v>1.7884662872944576E-4</v>
      </c>
      <c r="L78" s="184">
        <v>27.85</v>
      </c>
      <c r="M78" s="184">
        <v>45.5</v>
      </c>
      <c r="N78" s="184">
        <v>43.79</v>
      </c>
      <c r="O78" s="186">
        <v>47.68</v>
      </c>
      <c r="P78" s="186">
        <v>81.81</v>
      </c>
      <c r="Q78" s="186"/>
      <c r="R78" s="186"/>
      <c r="S78" s="186"/>
      <c r="T78" s="186"/>
      <c r="U78" s="186"/>
      <c r="V78" s="186"/>
      <c r="W78" s="186"/>
    </row>
    <row r="79" spans="6:23" ht="15.75" customHeight="1">
      <c r="F79" s="125" t="s">
        <v>242</v>
      </c>
      <c r="G79" s="125" t="s">
        <v>259</v>
      </c>
      <c r="H79" s="125" t="s">
        <v>289</v>
      </c>
      <c r="I79" s="125" t="s">
        <v>138</v>
      </c>
      <c r="J79" s="128">
        <f>SUM(Tabela1[[#This Row],[jan./26]:[dez./26]])</f>
        <v>430</v>
      </c>
      <c r="K79" s="132">
        <f>Tabela1[[#This Row],[Coluna1]]/Tabela1[[#Totals],[Coluna1]]</f>
        <v>3.1181952866099694E-4</v>
      </c>
      <c r="L79" s="184">
        <v>151.13</v>
      </c>
      <c r="M79" s="184">
        <v>41.12</v>
      </c>
      <c r="N79" s="184">
        <v>81.260000000000005</v>
      </c>
      <c r="O79" s="186">
        <v>81.27</v>
      </c>
      <c r="P79" s="186">
        <v>75.22</v>
      </c>
      <c r="Q79" s="186"/>
      <c r="R79" s="186"/>
      <c r="S79" s="186"/>
      <c r="T79" s="186"/>
      <c r="U79" s="186"/>
      <c r="V79" s="186"/>
      <c r="W79" s="186"/>
    </row>
    <row r="80" spans="6:23" ht="15.75" customHeight="1">
      <c r="F80" s="125" t="s">
        <v>242</v>
      </c>
      <c r="G80" s="125" t="s">
        <v>252</v>
      </c>
      <c r="H80" s="125" t="s">
        <v>421</v>
      </c>
      <c r="I80" s="125" t="s">
        <v>151</v>
      </c>
      <c r="J80" s="128">
        <f>SUM(Tabela1[[#This Row],[jan./26]:[dez./26]])</f>
        <v>165.8</v>
      </c>
      <c r="K80" s="15">
        <f>Tabela1[[#This Row],[Coluna1]]/Tabela1[[#Totals],[Coluna1]]</f>
        <v>1.2023180895812395E-4</v>
      </c>
      <c r="L80" s="184">
        <v>94.59</v>
      </c>
      <c r="M80" s="184">
        <v>0</v>
      </c>
      <c r="N80" s="184">
        <v>0</v>
      </c>
      <c r="O80" s="186">
        <v>0</v>
      </c>
      <c r="P80" s="186">
        <v>71.209999999999994</v>
      </c>
      <c r="Q80" s="186"/>
      <c r="R80" s="186"/>
      <c r="S80" s="186"/>
      <c r="T80" s="186"/>
      <c r="U80" s="186"/>
      <c r="V80" s="186"/>
      <c r="W80" s="186"/>
    </row>
    <row r="81" spans="6:23" ht="15.75" customHeight="1">
      <c r="F81" s="125" t="s">
        <v>242</v>
      </c>
      <c r="G81" s="125" t="s">
        <v>243</v>
      </c>
      <c r="H81" s="125" t="s">
        <v>417</v>
      </c>
      <c r="I81" s="125" t="s">
        <v>232</v>
      </c>
      <c r="J81" s="128">
        <f>SUM(Tabela1[[#This Row],[jan./26]:[dez./26]])</f>
        <v>343.35</v>
      </c>
      <c r="K81" s="15">
        <f>Tabela1[[#This Row],[Coluna1]]/Tabela1[[#Totals],[Coluna1]]</f>
        <v>2.4898426782733328E-4</v>
      </c>
      <c r="L81" s="184">
        <v>52.12</v>
      </c>
      <c r="M81" s="184">
        <v>59.02</v>
      </c>
      <c r="N81" s="184">
        <v>79.45</v>
      </c>
      <c r="O81" s="186">
        <v>92.88</v>
      </c>
      <c r="P81" s="186">
        <v>59.88</v>
      </c>
      <c r="Q81" s="186"/>
      <c r="R81" s="186"/>
      <c r="S81" s="186"/>
      <c r="T81" s="186"/>
      <c r="U81" s="186"/>
      <c r="V81" s="186"/>
      <c r="W81" s="186"/>
    </row>
    <row r="82" spans="6:23" ht="15.75" customHeight="1">
      <c r="F82" s="125" t="s">
        <v>242</v>
      </c>
      <c r="G82" t="s">
        <v>252</v>
      </c>
      <c r="H82" s="125" t="s">
        <v>647</v>
      </c>
      <c r="I82" s="125" t="s">
        <v>135</v>
      </c>
      <c r="J82" s="128">
        <f>SUM(Tabela1[[#This Row],[jan./26]:[dez./26]])</f>
        <v>58.8</v>
      </c>
      <c r="L82" s="186"/>
      <c r="M82" s="186"/>
      <c r="N82" s="186"/>
      <c r="O82" s="186"/>
      <c r="P82" s="186">
        <v>58.8</v>
      </c>
      <c r="Q82" s="186"/>
      <c r="R82" s="186"/>
      <c r="S82" s="186"/>
      <c r="T82" s="186"/>
      <c r="U82" s="186"/>
      <c r="V82" s="186"/>
      <c r="W82" s="186"/>
    </row>
    <row r="83" spans="6:23" ht="15.75" customHeight="1">
      <c r="F83" s="125" t="s">
        <v>242</v>
      </c>
      <c r="G83" s="125" t="s">
        <v>259</v>
      </c>
      <c r="H83" s="125" t="s">
        <v>438</v>
      </c>
      <c r="I83" s="125" t="s">
        <v>134</v>
      </c>
      <c r="J83" s="128">
        <f>SUM(Tabela1[[#This Row],[jan./26]:[dez./26]])</f>
        <v>155.76</v>
      </c>
      <c r="K83" s="132">
        <f>Tabela1[[#This Row],[Coluna1]]/Tabela1[[#Totals],[Coluna1]]</f>
        <v>1.1295118554473693E-4</v>
      </c>
      <c r="L83" s="186">
        <v>0</v>
      </c>
      <c r="M83" s="186">
        <v>0</v>
      </c>
      <c r="N83" s="186">
        <v>51.92</v>
      </c>
      <c r="O83" s="186">
        <v>51.92</v>
      </c>
      <c r="P83" s="186">
        <v>51.92</v>
      </c>
      <c r="Q83" s="186"/>
      <c r="R83" s="186"/>
      <c r="S83" s="186"/>
      <c r="T83" s="186"/>
      <c r="U83" s="186"/>
      <c r="V83" s="186"/>
      <c r="W83" s="186"/>
    </row>
    <row r="84" spans="6:23" ht="15.75" customHeight="1">
      <c r="F84" s="125" t="s">
        <v>242</v>
      </c>
      <c r="G84" t="s">
        <v>252</v>
      </c>
      <c r="H84" s="125" t="s">
        <v>648</v>
      </c>
      <c r="I84" s="125" t="s">
        <v>135</v>
      </c>
      <c r="J84" s="128">
        <f>SUM(Tabela1[[#This Row],[jan./26]:[dez./26]])</f>
        <v>48.45</v>
      </c>
      <c r="L84" s="186"/>
      <c r="M84" s="186"/>
      <c r="N84" s="186"/>
      <c r="O84" s="186"/>
      <c r="P84" s="186">
        <v>48.45</v>
      </c>
      <c r="Q84" s="186"/>
      <c r="R84" s="186"/>
      <c r="S84" s="186"/>
      <c r="T84" s="186"/>
      <c r="U84" s="186"/>
      <c r="V84" s="186"/>
      <c r="W84" s="186"/>
    </row>
    <row r="85" spans="6:23" ht="15.75" customHeight="1">
      <c r="F85" s="125" t="s">
        <v>242</v>
      </c>
      <c r="G85" s="125" t="s">
        <v>271</v>
      </c>
      <c r="H85" s="125" t="s">
        <v>423</v>
      </c>
      <c r="I85" s="125" t="s">
        <v>135</v>
      </c>
      <c r="J85" s="128">
        <f>SUM(Tabela1[[#This Row],[jan./26]:[dez./26]])</f>
        <v>741.53</v>
      </c>
      <c r="K85" s="15">
        <f>Tabela1[[#This Row],[Coluna1]]/Tabela1[[#Totals],[Coluna1]]</f>
        <v>5.3772915136741646E-4</v>
      </c>
      <c r="L85" s="184">
        <v>320.32</v>
      </c>
      <c r="M85" s="184">
        <v>124.37</v>
      </c>
      <c r="N85" s="184">
        <v>124.37</v>
      </c>
      <c r="O85" s="186">
        <v>124.37</v>
      </c>
      <c r="P85" s="186">
        <v>48.1</v>
      </c>
      <c r="Q85" s="186"/>
      <c r="R85" s="186"/>
      <c r="S85" s="186"/>
      <c r="T85" s="186"/>
      <c r="U85" s="186"/>
      <c r="V85" s="186"/>
      <c r="W85" s="186"/>
    </row>
    <row r="86" spans="6:23" ht="15.75" customHeight="1">
      <c r="F86" s="125" t="s">
        <v>242</v>
      </c>
      <c r="G86" s="125" t="s">
        <v>25</v>
      </c>
      <c r="H86" s="125" t="s">
        <v>411</v>
      </c>
      <c r="I86" s="125" t="s">
        <v>140</v>
      </c>
      <c r="J86" s="128">
        <f>SUM(Tabela1[[#This Row],[jan./26]:[dez./26]])</f>
        <v>232.39999999999998</v>
      </c>
      <c r="K86" s="15">
        <f>Tabela1[[#This Row],[Coluna1]]/Tabela1[[#Totals],[Coluna1]]</f>
        <v>1.6852757781585045E-4</v>
      </c>
      <c r="L86" s="184">
        <v>46.48</v>
      </c>
      <c r="M86" s="184">
        <v>46.48</v>
      </c>
      <c r="N86" s="184">
        <v>46.48</v>
      </c>
      <c r="O86" s="186">
        <v>46.48</v>
      </c>
      <c r="P86" s="186">
        <v>46.48</v>
      </c>
      <c r="Q86" s="186"/>
      <c r="R86" s="186"/>
      <c r="S86" s="186"/>
      <c r="T86" s="186"/>
      <c r="U86" s="186"/>
      <c r="V86" s="186"/>
      <c r="W86" s="186"/>
    </row>
    <row r="87" spans="6:23" ht="15.75" customHeight="1">
      <c r="F87" s="125" t="s">
        <v>242</v>
      </c>
      <c r="G87" s="125" t="s">
        <v>25</v>
      </c>
      <c r="H87" s="125" t="s">
        <v>284</v>
      </c>
      <c r="I87" s="125" t="s">
        <v>136</v>
      </c>
      <c r="J87" s="128">
        <f>SUM(Tabela1[[#This Row],[jan./26]:[dez./26]])</f>
        <v>1930.3600000000001</v>
      </c>
      <c r="K87" s="15">
        <f>Tabela1[[#This Row],[Coluna1]]/Tabela1[[#Totals],[Coluna1]]</f>
        <v>1.3998231287117259E-3</v>
      </c>
      <c r="L87" s="184">
        <v>38.22</v>
      </c>
      <c r="M87" s="184">
        <v>38.22</v>
      </c>
      <c r="N87" s="184">
        <v>1777.45</v>
      </c>
      <c r="O87" s="186">
        <v>38.25</v>
      </c>
      <c r="P87" s="186">
        <v>38.22</v>
      </c>
      <c r="Q87" s="186"/>
      <c r="R87" s="186"/>
      <c r="S87" s="186"/>
      <c r="T87" s="186"/>
      <c r="U87" s="186"/>
      <c r="V87" s="186"/>
      <c r="W87" s="186"/>
    </row>
    <row r="88" spans="6:23" ht="15.75" customHeight="1">
      <c r="F88" s="125" t="s">
        <v>242</v>
      </c>
      <c r="G88" s="125" t="s">
        <v>245</v>
      </c>
      <c r="H88" s="125" t="s">
        <v>265</v>
      </c>
      <c r="I88" s="125" t="s">
        <v>136</v>
      </c>
      <c r="J88" s="128">
        <f>SUM(Tabela1[[#This Row],[jan./26]:[dez./26]])</f>
        <v>188.36</v>
      </c>
      <c r="K88" s="15">
        <f>Tabela1[[#This Row],[Coluna1]]/Tabela1[[#Totals],[Coluna1]]</f>
        <v>1.365914567874079E-4</v>
      </c>
      <c r="L88" s="184">
        <v>37.5</v>
      </c>
      <c r="M88" s="184">
        <v>0</v>
      </c>
      <c r="N88" s="184">
        <v>75.430000000000007</v>
      </c>
      <c r="O88" s="186">
        <v>37.71</v>
      </c>
      <c r="P88" s="186">
        <v>37.72</v>
      </c>
      <c r="Q88" s="186"/>
      <c r="R88" s="186"/>
      <c r="S88" s="186"/>
      <c r="T88" s="186"/>
      <c r="U88" s="186"/>
      <c r="V88" s="186"/>
      <c r="W88" s="186"/>
    </row>
    <row r="89" spans="6:23" ht="15.75" customHeight="1">
      <c r="F89" s="125" t="s">
        <v>242</v>
      </c>
      <c r="G89" s="125" t="s">
        <v>269</v>
      </c>
      <c r="H89" s="125" t="s">
        <v>296</v>
      </c>
      <c r="I89" s="125" t="s">
        <v>235</v>
      </c>
      <c r="J89" s="128">
        <f>SUM(Tabela1[[#This Row],[jan./26]:[dez./26]])</f>
        <v>184.91000000000003</v>
      </c>
      <c r="K89" s="132">
        <f>Tabela1[[#This Row],[Coluna1]]/Tabela1[[#Totals],[Coluna1]]</f>
        <v>1.3408964894117431E-4</v>
      </c>
      <c r="L89" s="186">
        <v>47.86</v>
      </c>
      <c r="M89" s="186">
        <v>30.97</v>
      </c>
      <c r="N89" s="186">
        <v>35.36</v>
      </c>
      <c r="O89" s="186">
        <v>35.36</v>
      </c>
      <c r="P89" s="186">
        <v>35.36</v>
      </c>
      <c r="Q89" s="186"/>
      <c r="R89" s="186"/>
      <c r="S89" s="186"/>
      <c r="T89" s="186"/>
      <c r="U89" s="186"/>
      <c r="V89" s="186"/>
      <c r="W89" s="186"/>
    </row>
    <row r="90" spans="6:23" ht="15.75" customHeight="1">
      <c r="F90" s="125" t="s">
        <v>242</v>
      </c>
      <c r="G90" s="125" t="s">
        <v>259</v>
      </c>
      <c r="H90" s="125" t="s">
        <v>432</v>
      </c>
      <c r="I90" s="125" t="s">
        <v>136</v>
      </c>
      <c r="J90" s="128">
        <f>SUM(Tabela1[[#This Row],[jan./26]:[dez./26]])</f>
        <v>267.48</v>
      </c>
      <c r="K90" s="132">
        <f>Tabela1[[#This Row],[Coluna1]]/Tabela1[[#Totals],[Coluna1]]</f>
        <v>1.9396625006103132E-4</v>
      </c>
      <c r="L90" s="184">
        <v>21.61</v>
      </c>
      <c r="M90" s="184">
        <v>142.32</v>
      </c>
      <c r="N90" s="184">
        <v>34.520000000000003</v>
      </c>
      <c r="O90" s="186">
        <v>34.51</v>
      </c>
      <c r="P90" s="186">
        <v>34.520000000000003</v>
      </c>
      <c r="Q90" s="186"/>
      <c r="R90" s="186"/>
      <c r="S90" s="186"/>
      <c r="T90" s="186"/>
      <c r="U90" s="186"/>
      <c r="V90" s="186"/>
      <c r="W90" s="186"/>
    </row>
    <row r="91" spans="6:23" ht="15.75" customHeight="1">
      <c r="F91" s="125" t="s">
        <v>242</v>
      </c>
      <c r="G91" s="125" t="s">
        <v>271</v>
      </c>
      <c r="H91" s="125" t="s">
        <v>427</v>
      </c>
      <c r="I91" s="125" t="s">
        <v>134</v>
      </c>
      <c r="J91" s="128">
        <f>SUM(Tabela1[[#This Row],[jan./26]:[dez./26]])</f>
        <v>163.29999999999998</v>
      </c>
      <c r="K91" s="132">
        <f>Tabela1[[#This Row],[Coluna1]]/Tabela1[[#Totals],[Coluna1]]</f>
        <v>1.1841890472172278E-4</v>
      </c>
      <c r="L91" s="184">
        <v>0</v>
      </c>
      <c r="M91" s="184">
        <v>65.319999999999993</v>
      </c>
      <c r="N91" s="184">
        <v>32.659999999999997</v>
      </c>
      <c r="O91" s="186">
        <v>32.659999999999997</v>
      </c>
      <c r="P91" s="186">
        <v>32.659999999999997</v>
      </c>
      <c r="Q91" s="186"/>
      <c r="R91" s="186"/>
      <c r="S91" s="186"/>
      <c r="T91" s="186"/>
      <c r="U91" s="186"/>
      <c r="V91" s="186"/>
      <c r="W91" s="186"/>
    </row>
    <row r="92" spans="6:23" ht="15.75" customHeight="1">
      <c r="F92" s="125" t="s">
        <v>242</v>
      </c>
      <c r="G92" t="s">
        <v>252</v>
      </c>
      <c r="H92" s="125" t="s">
        <v>649</v>
      </c>
      <c r="I92" s="125" t="s">
        <v>235</v>
      </c>
      <c r="J92" s="128">
        <f>SUM(Tabela1[[#This Row],[jan./26]:[dez./26]])</f>
        <v>30.2</v>
      </c>
      <c r="L92" s="186"/>
      <c r="M92" s="186"/>
      <c r="N92" s="186"/>
      <c r="O92" s="186"/>
      <c r="P92" s="186">
        <v>30.2</v>
      </c>
      <c r="Q92" s="186"/>
      <c r="R92" s="186"/>
      <c r="S92" s="186"/>
      <c r="T92" s="186"/>
      <c r="U92" s="186"/>
      <c r="V92" s="186"/>
      <c r="W92" s="186"/>
    </row>
    <row r="93" spans="6:23" ht="15.75" customHeight="1">
      <c r="F93" s="125" t="s">
        <v>242</v>
      </c>
      <c r="G93" s="125" t="s">
        <v>264</v>
      </c>
      <c r="H93" s="125" t="s">
        <v>293</v>
      </c>
      <c r="I93" s="125" t="s">
        <v>151</v>
      </c>
      <c r="J93" s="128">
        <f>SUM(Tabela1[[#This Row],[jan./26]:[dez./26]])</f>
        <v>131.41</v>
      </c>
      <c r="K93" s="132">
        <f>Tabela1[[#This Row],[Coluna1]]/Tabela1[[#Totals],[Coluna1]]</f>
        <v>9.5293498282189785E-5</v>
      </c>
      <c r="L93" s="186">
        <v>24.79</v>
      </c>
      <c r="M93" s="186">
        <v>24.79</v>
      </c>
      <c r="N93" s="186">
        <v>24.79</v>
      </c>
      <c r="O93" s="186">
        <v>28.52</v>
      </c>
      <c r="P93" s="186">
        <v>28.52</v>
      </c>
      <c r="Q93" s="186"/>
      <c r="R93" s="186"/>
      <c r="S93" s="186"/>
      <c r="T93" s="186"/>
      <c r="U93" s="186"/>
      <c r="V93" s="186"/>
      <c r="W93" s="186"/>
    </row>
    <row r="94" spans="6:23" ht="15.75" customHeight="1">
      <c r="F94" s="125" t="s">
        <v>242</v>
      </c>
      <c r="G94" s="125" t="s">
        <v>252</v>
      </c>
      <c r="H94" s="125" t="s">
        <v>276</v>
      </c>
      <c r="I94" s="125" t="s">
        <v>135</v>
      </c>
      <c r="J94" s="128">
        <f>SUM(Tabela1[[#This Row],[jan./26]:[dez./26]])</f>
        <v>86.62</v>
      </c>
      <c r="K94" s="15">
        <f>Tabela1[[#This Row],[Coluna1]]/Tabela1[[#Totals],[Coluna1]]</f>
        <v>6.2813505982826882E-5</v>
      </c>
      <c r="L94" s="184">
        <v>17.84</v>
      </c>
      <c r="M94" s="184">
        <v>0</v>
      </c>
      <c r="N94" s="184">
        <v>0</v>
      </c>
      <c r="O94" s="186">
        <v>40.35</v>
      </c>
      <c r="P94" s="186">
        <v>28.43</v>
      </c>
      <c r="Q94" s="186"/>
      <c r="R94" s="186"/>
      <c r="S94" s="186"/>
      <c r="T94" s="186"/>
      <c r="U94" s="186"/>
      <c r="V94" s="186"/>
      <c r="W94" s="186"/>
    </row>
    <row r="95" spans="6:23" ht="15.75" customHeight="1">
      <c r="F95" s="125" t="s">
        <v>242</v>
      </c>
      <c r="G95" s="125" t="s">
        <v>245</v>
      </c>
      <c r="H95" s="125" t="s">
        <v>266</v>
      </c>
      <c r="I95" s="125" t="s">
        <v>235</v>
      </c>
      <c r="J95" s="128">
        <f>SUM(Tabela1[[#This Row],[jan./26]:[dez./26]])</f>
        <v>140.57</v>
      </c>
      <c r="K95" s="15">
        <f>Tabela1[[#This Row],[Coluna1]]/Tabela1[[#Totals],[Coluna1]]</f>
        <v>1.0193597940436358E-4</v>
      </c>
      <c r="L95" s="184">
        <v>57.02</v>
      </c>
      <c r="M95" s="184">
        <v>27.85</v>
      </c>
      <c r="N95" s="184">
        <v>0</v>
      </c>
      <c r="O95" s="186">
        <v>27.85</v>
      </c>
      <c r="P95" s="186">
        <v>27.85</v>
      </c>
      <c r="Q95" s="186"/>
      <c r="R95" s="186"/>
      <c r="S95" s="186"/>
      <c r="T95" s="186"/>
      <c r="U95" s="186"/>
      <c r="V95" s="186"/>
      <c r="W95" s="186"/>
    </row>
    <row r="96" spans="6:23" ht="15.75" customHeight="1">
      <c r="F96" s="125" t="s">
        <v>242</v>
      </c>
      <c r="G96" s="125" t="s">
        <v>271</v>
      </c>
      <c r="H96" s="125" t="s">
        <v>429</v>
      </c>
      <c r="I96" s="125" t="s">
        <v>151</v>
      </c>
      <c r="J96" s="128">
        <f>SUM(Tabela1[[#This Row],[jan./26]:[dez./26]])</f>
        <v>45.55</v>
      </c>
      <c r="K96" s="132">
        <f>Tabela1[[#This Row],[Coluna1]]/Tabela1[[#Totals],[Coluna1]]</f>
        <v>3.3031115187228865E-5</v>
      </c>
      <c r="L96" s="184">
        <v>0</v>
      </c>
      <c r="M96" s="184">
        <v>9.11</v>
      </c>
      <c r="N96" s="184">
        <v>9.11</v>
      </c>
      <c r="O96" s="186">
        <v>9.11</v>
      </c>
      <c r="P96" s="186">
        <v>18.22</v>
      </c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s="125" t="s">
        <v>262</v>
      </c>
      <c r="H97" s="125" t="s">
        <v>442</v>
      </c>
      <c r="I97" s="125" t="s">
        <v>134</v>
      </c>
      <c r="J97" s="128">
        <f>SUM(Tabela1[[#This Row],[jan./26]:[dez./26]])</f>
        <v>32.980000000000004</v>
      </c>
      <c r="K97" s="132">
        <f>Tabela1[[#This Row],[Coluna1]]/Tabela1[[#Totals],[Coluna1]]</f>
        <v>2.3915832686603911E-5</v>
      </c>
      <c r="L97" s="186">
        <v>0</v>
      </c>
      <c r="M97" s="186">
        <v>0</v>
      </c>
      <c r="N97" s="186">
        <v>0</v>
      </c>
      <c r="O97" s="186">
        <v>19.23</v>
      </c>
      <c r="P97" s="186">
        <v>13.75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t="s">
        <v>271</v>
      </c>
      <c r="H98" s="125" t="s">
        <v>651</v>
      </c>
      <c r="I98" s="125" t="s">
        <v>136</v>
      </c>
      <c r="J98" s="128">
        <f>SUM(Tabela1[[#This Row],[jan./26]:[dez./26]])</f>
        <v>13.59</v>
      </c>
      <c r="L98" s="186"/>
      <c r="M98" s="186"/>
      <c r="N98" s="186"/>
      <c r="O98" s="186"/>
      <c r="P98" s="186">
        <v>13.59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267</v>
      </c>
      <c r="H99" s="125" t="s">
        <v>444</v>
      </c>
      <c r="I99" s="125" t="s">
        <v>138</v>
      </c>
      <c r="J99" s="128">
        <f>SUM(Tabela1[[#This Row],[jan./26]:[dez./26]])</f>
        <v>59.1</v>
      </c>
      <c r="K99" s="132">
        <f>Tabela1[[#This Row],[Coluna1]]/Tabela1[[#Totals],[Coluna1]]</f>
        <v>4.2857056148523073E-5</v>
      </c>
      <c r="L99" s="186">
        <v>11.85</v>
      </c>
      <c r="M99" s="186">
        <v>11.86</v>
      </c>
      <c r="N99" s="186">
        <v>11.86</v>
      </c>
      <c r="O99" s="186">
        <v>11.85</v>
      </c>
      <c r="P99" s="186">
        <v>11.68</v>
      </c>
      <c r="Q99" s="186"/>
      <c r="R99" s="186"/>
      <c r="S99" s="186"/>
      <c r="T99" s="186"/>
      <c r="U99" s="186"/>
      <c r="V99" s="186"/>
      <c r="W99" s="186"/>
    </row>
    <row r="100" spans="6:23" ht="15.75" customHeight="1">
      <c r="F100" s="125" t="s">
        <v>242</v>
      </c>
      <c r="G100" s="125" t="s">
        <v>259</v>
      </c>
      <c r="H100" s="125" t="s">
        <v>436</v>
      </c>
      <c r="I100" s="125" t="s">
        <v>232</v>
      </c>
      <c r="J100" s="128">
        <f>SUM(Tabela1[[#This Row],[jan./26]:[dez./26]])</f>
        <v>144.36000000000001</v>
      </c>
      <c r="K100" s="132">
        <f>Tabela1[[#This Row],[Coluna1]]/Tabela1[[#Totals],[Coluna1]]</f>
        <v>1.0468434222674773E-4</v>
      </c>
      <c r="L100" s="186">
        <v>0</v>
      </c>
      <c r="M100" s="186">
        <v>0</v>
      </c>
      <c r="N100" s="186">
        <v>0</v>
      </c>
      <c r="O100" s="186">
        <v>134.86000000000001</v>
      </c>
      <c r="P100" s="186">
        <v>9.5</v>
      </c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245</v>
      </c>
      <c r="H101" s="125" t="s">
        <v>270</v>
      </c>
      <c r="I101" s="125" t="s">
        <v>235</v>
      </c>
      <c r="J101" s="128">
        <f>SUM(Tabela1[[#This Row],[jan./26]:[dez./26]])</f>
        <v>5.1800000000000006</v>
      </c>
      <c r="K101" s="15">
        <f>Tabela1[[#This Row],[Coluna1]]/Tabela1[[#Totals],[Coluna1]]</f>
        <v>3.7563375778231731E-6</v>
      </c>
      <c r="L101" s="184">
        <v>1.02</v>
      </c>
      <c r="M101" s="184">
        <v>1.04</v>
      </c>
      <c r="N101" s="184">
        <v>1.04</v>
      </c>
      <c r="O101" s="186">
        <v>1.04</v>
      </c>
      <c r="P101" s="186">
        <v>1.04</v>
      </c>
      <c r="Q101" s="186"/>
      <c r="R101" s="186"/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s="125" t="s">
        <v>269</v>
      </c>
      <c r="H102" s="125" t="s">
        <v>295</v>
      </c>
      <c r="I102" s="125" t="s">
        <v>151</v>
      </c>
      <c r="J102" s="128">
        <f>SUM(Tabela1[[#This Row],[jan./26]:[dez./26]])</f>
        <v>3.15</v>
      </c>
      <c r="K102" s="132">
        <f>Tabela1[[#This Row],[Coluna1]]/Tabela1[[#Totals],[Coluna1]]</f>
        <v>2.2842593378654429E-6</v>
      </c>
      <c r="L102" s="186">
        <v>0.78</v>
      </c>
      <c r="M102" s="186">
        <v>0.78</v>
      </c>
      <c r="N102" s="186">
        <v>0.78</v>
      </c>
      <c r="O102" s="186">
        <v>0</v>
      </c>
      <c r="P102" s="186">
        <v>0.81</v>
      </c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566</v>
      </c>
      <c r="H103" s="125" t="s">
        <v>279</v>
      </c>
      <c r="I103" s="125" t="s">
        <v>138</v>
      </c>
      <c r="J103" s="128">
        <f>SUM(Tabela1[[#This Row],[jan./26]:[dez./26]])</f>
        <v>4532.01</v>
      </c>
      <c r="K103" s="15">
        <f>Tabela1[[#This Row],[Coluna1]]/Tabela1[[#Totals],[Coluna1]]</f>
        <v>3.2864400513649417E-3</v>
      </c>
      <c r="L103" s="184">
        <v>0</v>
      </c>
      <c r="M103" s="184">
        <v>1862.01</v>
      </c>
      <c r="N103" s="184">
        <v>2005.06</v>
      </c>
      <c r="O103" s="186">
        <v>664.94</v>
      </c>
      <c r="P103" s="186"/>
      <c r="Q103" s="186"/>
      <c r="R103" s="186"/>
      <c r="S103" s="186"/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566</v>
      </c>
      <c r="H104" s="125" t="s">
        <v>407</v>
      </c>
      <c r="I104" s="125" t="s">
        <v>232</v>
      </c>
      <c r="J104" s="128">
        <f>SUM(Tabela1[[#This Row],[jan./26]:[dez./26]])</f>
        <v>2660</v>
      </c>
      <c r="K104" s="15">
        <f>Tabela1[[#This Row],[Coluna1]]/Tabela1[[#Totals],[Coluna1]]</f>
        <v>1.9289301075308184E-3</v>
      </c>
      <c r="L104" s="184">
        <v>0</v>
      </c>
      <c r="M104" s="184">
        <v>0</v>
      </c>
      <c r="N104" s="184">
        <v>0</v>
      </c>
      <c r="O104" s="186">
        <v>2660</v>
      </c>
      <c r="P104" s="186"/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566</v>
      </c>
      <c r="H105" s="125" t="s">
        <v>272</v>
      </c>
      <c r="I105" s="125" t="s">
        <v>235</v>
      </c>
      <c r="J105" s="128">
        <f>SUM(Tabela1[[#This Row],[jan./26]:[dez./26]])</f>
        <v>2589.36</v>
      </c>
      <c r="K105" s="15">
        <f>Tabela1[[#This Row],[Coluna1]]/Tabela1[[#Totals],[Coluna1]]</f>
        <v>1.8777046854270678E-3</v>
      </c>
      <c r="L105" s="184">
        <v>682.59</v>
      </c>
      <c r="M105" s="184">
        <v>619.74</v>
      </c>
      <c r="N105" s="184">
        <v>591.20000000000005</v>
      </c>
      <c r="O105" s="186">
        <v>695.83</v>
      </c>
      <c r="P105" s="186"/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s="125" t="s">
        <v>566</v>
      </c>
      <c r="H106" s="125" t="s">
        <v>408</v>
      </c>
      <c r="I106" s="125" t="s">
        <v>140</v>
      </c>
      <c r="J106" s="128">
        <f>SUM(Tabela1[[#This Row],[jan./26]:[dez./26]])</f>
        <v>199.49</v>
      </c>
      <c r="K106" s="15">
        <f>Tabela1[[#This Row],[Coluna1]]/Tabela1[[#Totals],[Coluna1]]</f>
        <v>1.4466250644786579E-4</v>
      </c>
      <c r="L106" s="184">
        <v>199.49</v>
      </c>
      <c r="M106" s="184">
        <v>0</v>
      </c>
      <c r="N106" s="184">
        <v>0</v>
      </c>
      <c r="O106" s="186">
        <v>0</v>
      </c>
      <c r="P106" s="186"/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s="125" t="s">
        <v>25</v>
      </c>
      <c r="H107" s="125" t="s">
        <v>256</v>
      </c>
      <c r="I107" s="125" t="s">
        <v>135</v>
      </c>
      <c r="J107" s="128">
        <f>SUM(Tabela1[[#This Row],[jan./26]:[dez./26]])</f>
        <v>4274.8999999999996</v>
      </c>
      <c r="K107" s="15">
        <f>Tabela1[[#This Row],[Coluna1]]/Tabela1[[#Totals],[Coluna1]]</f>
        <v>3.099993728076502E-3</v>
      </c>
      <c r="L107" s="184">
        <v>723.81</v>
      </c>
      <c r="M107" s="184">
        <v>913.27</v>
      </c>
      <c r="N107" s="184">
        <v>1551.77</v>
      </c>
      <c r="O107" s="186">
        <v>1086.05</v>
      </c>
      <c r="P107" s="186"/>
      <c r="Q107" s="186"/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25</v>
      </c>
      <c r="H108" s="125" t="s">
        <v>255</v>
      </c>
      <c r="I108" s="125" t="s">
        <v>232</v>
      </c>
      <c r="J108" s="128">
        <f>SUM(Tabela1[[#This Row],[jan./26]:[dez./26]])</f>
        <v>676.77</v>
      </c>
      <c r="K108" s="15">
        <f>Tabela1[[#This Row],[Coluna1]]/Tabela1[[#Totals],[Coluna1]]</f>
        <v>4.9076768002768122E-4</v>
      </c>
      <c r="L108" s="184">
        <v>122.47</v>
      </c>
      <c r="M108" s="184">
        <v>122.47</v>
      </c>
      <c r="N108" s="184">
        <v>122.47</v>
      </c>
      <c r="O108" s="186">
        <v>309.36</v>
      </c>
      <c r="P108" s="186"/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245</v>
      </c>
      <c r="H109" s="125" t="s">
        <v>248</v>
      </c>
      <c r="I109" s="125" t="s">
        <v>135</v>
      </c>
      <c r="J109" s="128">
        <f>SUM(Tabela1[[#This Row],[jan./26]:[dez./26]])</f>
        <v>597.79999999999995</v>
      </c>
      <c r="K109" s="15">
        <f>Tabela1[[#This Row],[Coluna1]]/Tabela1[[#Totals],[Coluna1]]</f>
        <v>4.3350166100824178E-4</v>
      </c>
      <c r="L109" s="184">
        <v>239.12</v>
      </c>
      <c r="M109" s="184">
        <v>0</v>
      </c>
      <c r="N109" s="184">
        <v>119.56</v>
      </c>
      <c r="O109" s="186">
        <v>239.12</v>
      </c>
      <c r="P109" s="186"/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25</v>
      </c>
      <c r="H110" s="125" t="s">
        <v>250</v>
      </c>
      <c r="I110" s="125" t="s">
        <v>151</v>
      </c>
      <c r="J110" s="128">
        <f>SUM(Tabela1[[#This Row],[jan./26]:[dez./26]])</f>
        <v>458.61</v>
      </c>
      <c r="K110" s="15">
        <f>Tabela1[[#This Row],[Coluna1]]/Tabela1[[#Totals],[Coluna1]]</f>
        <v>3.3256640474237168E-4</v>
      </c>
      <c r="L110" s="184">
        <v>114.88</v>
      </c>
      <c r="M110" s="184">
        <v>114.88</v>
      </c>
      <c r="N110" s="184">
        <v>113.97</v>
      </c>
      <c r="O110" s="186">
        <v>114.88</v>
      </c>
      <c r="P110" s="186"/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245</v>
      </c>
      <c r="H111" s="125" t="s">
        <v>404</v>
      </c>
      <c r="I111" s="125" t="s">
        <v>138</v>
      </c>
      <c r="J111" s="128">
        <f>SUM(Tabela1[[#This Row],[jan./26]:[dez./26]])</f>
        <v>39.19</v>
      </c>
      <c r="K111" s="15">
        <f>Tabela1[[#This Row],[Coluna1]]/Tabela1[[#Totals],[Coluna1]]</f>
        <v>2.8419086809824351E-5</v>
      </c>
      <c r="L111" s="184">
        <v>0</v>
      </c>
      <c r="M111" s="184">
        <v>0</v>
      </c>
      <c r="N111" s="184">
        <v>39.19</v>
      </c>
      <c r="O111" s="186">
        <v>0</v>
      </c>
      <c r="P111" s="186"/>
      <c r="Q111" s="186"/>
      <c r="R111" s="186"/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245</v>
      </c>
      <c r="H112" s="125" t="s">
        <v>405</v>
      </c>
      <c r="I112" s="125" t="s">
        <v>138</v>
      </c>
      <c r="J112" s="128">
        <f>SUM(Tabela1[[#This Row],[jan./26]:[dez./26]])</f>
        <v>31.229999999999997</v>
      </c>
      <c r="K112" s="15">
        <f>Tabela1[[#This Row],[Coluna1]]/Tabela1[[#Totals],[Coluna1]]</f>
        <v>2.2646799721123101E-5</v>
      </c>
      <c r="L112" s="184">
        <v>15.62</v>
      </c>
      <c r="M112" s="184">
        <v>15.61</v>
      </c>
      <c r="N112" s="184">
        <v>0</v>
      </c>
      <c r="O112" s="186">
        <v>0</v>
      </c>
      <c r="P112" s="186"/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25</v>
      </c>
      <c r="H113" s="125" t="s">
        <v>258</v>
      </c>
      <c r="I113" s="125" t="s">
        <v>235</v>
      </c>
      <c r="J113" s="128">
        <f>SUM(Tabela1[[#This Row],[jan./26]:[dez./26]])</f>
        <v>18.95</v>
      </c>
      <c r="K113" s="15">
        <f>Tabela1[[#This Row],[Coluna1]]/Tabela1[[#Totals],[Coluna1]]</f>
        <v>1.374181411192068E-5</v>
      </c>
      <c r="L113" s="184">
        <v>18.95</v>
      </c>
      <c r="M113" s="184">
        <v>0</v>
      </c>
      <c r="N113" s="184">
        <v>0</v>
      </c>
      <c r="O113" s="186">
        <v>0</v>
      </c>
      <c r="P113" s="186"/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25</v>
      </c>
      <c r="H114" s="125" t="s">
        <v>246</v>
      </c>
      <c r="I114" s="125" t="s">
        <v>135</v>
      </c>
      <c r="J114" s="128">
        <f>SUM(Tabela1[[#This Row],[jan./26]:[dez./26]])</f>
        <v>725.90000000000009</v>
      </c>
      <c r="K114" s="15">
        <f>Tabela1[[#This Row],[Coluna1]]/Tabela1[[#Totals],[Coluna1]]</f>
        <v>5.2639487408143659E-4</v>
      </c>
      <c r="L114" s="184">
        <v>182.24</v>
      </c>
      <c r="M114" s="184">
        <v>181.22</v>
      </c>
      <c r="N114" s="184">
        <v>181.22</v>
      </c>
      <c r="O114" s="186">
        <v>181.22</v>
      </c>
      <c r="P114" s="186"/>
      <c r="Q114" s="186"/>
      <c r="R114" s="186"/>
      <c r="S114" s="186"/>
      <c r="T114" s="186"/>
      <c r="U114" s="186"/>
      <c r="V114" s="186"/>
      <c r="W114" s="186"/>
    </row>
    <row r="115" spans="6:23">
      <c r="F115" s="125" t="s">
        <v>242</v>
      </c>
      <c r="G115" s="125" t="s">
        <v>25</v>
      </c>
      <c r="H115" s="125" t="s">
        <v>254</v>
      </c>
      <c r="I115" s="125" t="s">
        <v>138</v>
      </c>
      <c r="J115" s="128">
        <f>SUM(Tabela1[[#This Row],[jan./26]:[dez./26]])</f>
        <v>850.36</v>
      </c>
      <c r="K115" s="15">
        <f>Tabela1[[#This Row],[Coluna1]]/Tabela1[[#Totals],[Coluna1]]</f>
        <v>6.1664849858643106E-4</v>
      </c>
      <c r="L115" s="184">
        <v>212.59</v>
      </c>
      <c r="M115" s="184">
        <v>212.59</v>
      </c>
      <c r="N115" s="184">
        <v>212.59</v>
      </c>
      <c r="O115" s="186">
        <v>212.59</v>
      </c>
      <c r="P115" s="186"/>
      <c r="Q115" s="186"/>
      <c r="R115" s="186"/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25</v>
      </c>
      <c r="H116" s="125" t="s">
        <v>247</v>
      </c>
      <c r="I116" s="125" t="s">
        <v>136</v>
      </c>
      <c r="J116" s="128">
        <f>SUM(Tabela1[[#This Row],[jan./26]:[dez./26]])</f>
        <v>78.3</v>
      </c>
      <c r="K116" s="15">
        <f>Tabela1[[#This Row],[Coluna1]]/Tabela1[[#Totals],[Coluna1]]</f>
        <v>5.6780160684083865E-5</v>
      </c>
      <c r="L116" s="184">
        <v>19.62</v>
      </c>
      <c r="M116" s="184">
        <v>19.559999999999999</v>
      </c>
      <c r="N116" s="184">
        <v>19.559999999999999</v>
      </c>
      <c r="O116" s="186">
        <v>19.559999999999999</v>
      </c>
      <c r="P116" s="186"/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s="125" t="s">
        <v>25</v>
      </c>
      <c r="H117" s="125" t="s">
        <v>410</v>
      </c>
      <c r="I117" s="125" t="s">
        <v>140</v>
      </c>
      <c r="J117" s="128">
        <f>SUM(Tabela1[[#This Row],[jan./26]:[dez./26]])</f>
        <v>279.92</v>
      </c>
      <c r="K117" s="15">
        <f>Tabela1[[#This Row],[Coluna1]]/Tabela1[[#Totals],[Coluna1]]</f>
        <v>2.0298726154136342E-4</v>
      </c>
      <c r="L117" s="184">
        <v>279.92</v>
      </c>
      <c r="M117" s="184">
        <v>0</v>
      </c>
      <c r="N117" s="184">
        <v>0</v>
      </c>
      <c r="O117" s="186">
        <v>0</v>
      </c>
      <c r="P117" s="186"/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</v>
      </c>
      <c r="H118" s="125" t="s">
        <v>261</v>
      </c>
      <c r="I118" s="125" t="s">
        <v>232</v>
      </c>
      <c r="J118" s="128">
        <f>SUM(Tabela1[[#This Row],[jan./26]:[dez./26]])</f>
        <v>967.98</v>
      </c>
      <c r="K118" s="15">
        <f>Tabela1[[#This Row],[Coluna1]]/Tabela1[[#Totals],[Coluna1]]</f>
        <v>7.0194201710063221E-4</v>
      </c>
      <c r="L118" s="184">
        <v>644.79999999999995</v>
      </c>
      <c r="M118" s="184">
        <v>107.7</v>
      </c>
      <c r="N118" s="184">
        <v>107.69</v>
      </c>
      <c r="O118" s="186">
        <v>107.79</v>
      </c>
      <c r="P118" s="186"/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s="125" t="s">
        <v>252</v>
      </c>
      <c r="H119" s="125" t="s">
        <v>419</v>
      </c>
      <c r="I119" s="125" t="s">
        <v>136</v>
      </c>
      <c r="J119" s="128">
        <f>SUM(Tabela1[[#This Row],[jan./26]:[dez./26]])</f>
        <v>109.35</v>
      </c>
      <c r="K119" s="15">
        <f>Tabela1[[#This Row],[Coluna1]]/Tabela1[[#Totals],[Coluna1]]</f>
        <v>7.9296431300186085E-5</v>
      </c>
      <c r="L119" s="184">
        <v>0</v>
      </c>
      <c r="M119" s="184">
        <v>109.35</v>
      </c>
      <c r="N119" s="184">
        <v>0</v>
      </c>
      <c r="O119" s="186">
        <v>0</v>
      </c>
      <c r="P119" s="186"/>
      <c r="Q119" s="186"/>
      <c r="R119" s="186"/>
      <c r="S119" s="186"/>
      <c r="T119" s="186"/>
      <c r="U119" s="186"/>
      <c r="V119" s="186"/>
      <c r="W119" s="186"/>
    </row>
    <row r="120" spans="6:23">
      <c r="F120" s="125" t="s">
        <v>242</v>
      </c>
      <c r="G120" s="125" t="s">
        <v>252</v>
      </c>
      <c r="H120" s="125" t="s">
        <v>420</v>
      </c>
      <c r="I120" s="125" t="s">
        <v>138</v>
      </c>
      <c r="J120" s="128">
        <f>SUM(Tabela1[[#This Row],[jan./26]:[dez./26]])</f>
        <v>100.4</v>
      </c>
      <c r="K120" s="15">
        <f>Tabela1[[#This Row],[Coluna1]]/Tabela1[[#Totals],[Coluna1]]</f>
        <v>7.2806234133869987E-5</v>
      </c>
      <c r="L120" s="184">
        <v>0</v>
      </c>
      <c r="M120" s="184">
        <v>0</v>
      </c>
      <c r="N120" s="184">
        <v>0</v>
      </c>
      <c r="O120" s="186">
        <v>100.4</v>
      </c>
      <c r="P120" s="186"/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s="125" t="s">
        <v>252</v>
      </c>
      <c r="H121" s="125" t="s">
        <v>422</v>
      </c>
      <c r="I121" s="125" t="s">
        <v>232</v>
      </c>
      <c r="J121" s="128">
        <f>SUM(Tabela1[[#This Row],[jan./26]:[dez./26]])</f>
        <v>47.54</v>
      </c>
      <c r="K121" s="15">
        <f>Tabela1[[#This Row],[Coluna1]]/Tabela1[[#Totals],[Coluna1]]</f>
        <v>3.4474186959404178E-5</v>
      </c>
      <c r="L121" s="184">
        <v>23.77</v>
      </c>
      <c r="M121" s="184">
        <v>0</v>
      </c>
      <c r="N121" s="184">
        <v>23.77</v>
      </c>
      <c r="O121" s="186">
        <v>0</v>
      </c>
      <c r="P121" s="186"/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271</v>
      </c>
      <c r="H122" s="125" t="s">
        <v>294</v>
      </c>
      <c r="I122" s="125" t="s">
        <v>138</v>
      </c>
      <c r="J122" s="128">
        <f>SUM(Tabela1[[#This Row],[jan./26]:[dez./26]])</f>
        <v>328.70000000000005</v>
      </c>
      <c r="K122" s="132">
        <f>Tabela1[[#This Row],[Coluna1]]/Tabela1[[#Totals],[Coluna1]]</f>
        <v>2.383606490020226E-4</v>
      </c>
      <c r="L122" s="187">
        <v>36.21</v>
      </c>
      <c r="M122" s="187">
        <v>16.97</v>
      </c>
      <c r="N122" s="187">
        <v>16.97</v>
      </c>
      <c r="O122" s="186">
        <v>258.55</v>
      </c>
      <c r="P122" s="186"/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271</v>
      </c>
      <c r="H123" s="125" t="s">
        <v>298</v>
      </c>
      <c r="I123" s="125" t="s">
        <v>135</v>
      </c>
      <c r="J123" s="128">
        <f>SUM(Tabela1[[#This Row],[jan./26]:[dez./26]])</f>
        <v>460.48</v>
      </c>
      <c r="K123" s="15">
        <f>Tabela1[[#This Row],[Coluna1]]/Tabela1[[#Totals],[Coluna1]]</f>
        <v>3.3392245711119975E-4</v>
      </c>
      <c r="L123" s="184">
        <v>116.08</v>
      </c>
      <c r="M123" s="184">
        <v>66</v>
      </c>
      <c r="N123" s="184">
        <v>212.4</v>
      </c>
      <c r="O123" s="186">
        <v>66</v>
      </c>
      <c r="P123" s="186"/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271</v>
      </c>
      <c r="H124" s="125" t="s">
        <v>425</v>
      </c>
      <c r="I124" s="125" t="s">
        <v>135</v>
      </c>
      <c r="J124" s="128">
        <f>SUM(Tabela1[[#This Row],[jan./26]:[dez./26]])</f>
        <v>307.42</v>
      </c>
      <c r="K124" s="132">
        <f>Tabela1[[#This Row],[Coluna1]]/Tabela1[[#Totals],[Coluna1]]</f>
        <v>2.2292920814177602E-4</v>
      </c>
      <c r="L124" s="184">
        <v>0</v>
      </c>
      <c r="M124" s="184">
        <v>0</v>
      </c>
      <c r="N124" s="184">
        <v>307.42</v>
      </c>
      <c r="O124" s="186">
        <v>0</v>
      </c>
      <c r="P124" s="186"/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271</v>
      </c>
      <c r="H125" s="125" t="s">
        <v>428</v>
      </c>
      <c r="I125" s="125" t="s">
        <v>232</v>
      </c>
      <c r="J125" s="128">
        <f>SUM(Tabela1[[#This Row],[jan./26]:[dez./26]])</f>
        <v>92.48</v>
      </c>
      <c r="K125" s="132">
        <f>Tabela1[[#This Row],[Coluna1]]/Tabela1[[#Totals],[Coluna1]]</f>
        <v>6.7062953512951162E-5</v>
      </c>
      <c r="L125" s="184">
        <v>0</v>
      </c>
      <c r="M125" s="184">
        <v>0</v>
      </c>
      <c r="N125" s="184">
        <v>46.24</v>
      </c>
      <c r="O125" s="186">
        <v>46.24</v>
      </c>
      <c r="P125" s="186"/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271</v>
      </c>
      <c r="H126" s="125" t="s">
        <v>430</v>
      </c>
      <c r="I126" s="125" t="s">
        <v>138</v>
      </c>
      <c r="J126" s="128">
        <f>SUM(Tabela1[[#This Row],[jan./26]:[dez./26]])</f>
        <v>13.59</v>
      </c>
      <c r="K126" s="132">
        <f>Tabela1[[#This Row],[Coluna1]]/Tabela1[[#Totals],[Coluna1]]</f>
        <v>9.8549474290766246E-6</v>
      </c>
      <c r="L126" s="184">
        <v>0</v>
      </c>
      <c r="M126" s="184">
        <v>0</v>
      </c>
      <c r="N126" s="184">
        <v>0</v>
      </c>
      <c r="O126" s="186">
        <v>13.59</v>
      </c>
      <c r="P126" s="186"/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259</v>
      </c>
      <c r="H127" s="125" t="s">
        <v>433</v>
      </c>
      <c r="I127" s="125" t="s">
        <v>138</v>
      </c>
      <c r="J127" s="128">
        <f>SUM(Tabela1[[#This Row],[jan./26]:[dez./26]])</f>
        <v>223.15</v>
      </c>
      <c r="K127" s="132">
        <f>Tabela1[[#This Row],[Coluna1]]/Tabela1[[#Totals],[Coluna1]]</f>
        <v>1.6181983214116623E-4</v>
      </c>
      <c r="L127" s="184">
        <v>0</v>
      </c>
      <c r="M127" s="184">
        <v>0</v>
      </c>
      <c r="N127" s="184">
        <v>0</v>
      </c>
      <c r="O127" s="186">
        <v>223.15</v>
      </c>
      <c r="P127" s="186"/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242</v>
      </c>
      <c r="G128" s="125" t="s">
        <v>259</v>
      </c>
      <c r="H128" s="125" t="s">
        <v>434</v>
      </c>
      <c r="I128" s="125" t="s">
        <v>151</v>
      </c>
      <c r="J128" s="128">
        <f>SUM(Tabela1[[#This Row],[jan./26]:[dez./26]])</f>
        <v>222.04</v>
      </c>
      <c r="K128" s="132">
        <f>Tabela1[[#This Row],[Coluna1]]/Tabela1[[#Totals],[Coluna1]]</f>
        <v>1.6101490266020411E-4</v>
      </c>
      <c r="L128" s="184">
        <v>222.04</v>
      </c>
      <c r="M128" s="184">
        <v>0</v>
      </c>
      <c r="N128" s="184">
        <v>0</v>
      </c>
      <c r="O128" s="186">
        <v>0</v>
      </c>
      <c r="P128" s="186"/>
      <c r="Q128" s="186"/>
      <c r="R128" s="186"/>
      <c r="S128" s="186"/>
      <c r="T128" s="186"/>
      <c r="U128" s="186"/>
      <c r="V128" s="186"/>
      <c r="W128" s="186"/>
    </row>
    <row r="129" spans="6:23">
      <c r="F129" s="125" t="s">
        <v>242</v>
      </c>
      <c r="G129" s="125" t="s">
        <v>259</v>
      </c>
      <c r="H129" s="125" t="s">
        <v>287</v>
      </c>
      <c r="I129" s="125" t="s">
        <v>136</v>
      </c>
      <c r="J129" s="128">
        <f>SUM(Tabela1[[#This Row],[jan./26]:[dez./26]])</f>
        <v>214.1</v>
      </c>
      <c r="K129" s="132">
        <f>Tabela1[[#This Row],[Coluna1]]/Tabela1[[#Totals],[Coluna1]]</f>
        <v>1.5525711880539405E-4</v>
      </c>
      <c r="L129" s="184">
        <v>0</v>
      </c>
      <c r="M129" s="184">
        <v>214.1</v>
      </c>
      <c r="N129" s="184">
        <v>0</v>
      </c>
      <c r="O129" s="186">
        <v>0</v>
      </c>
      <c r="P129" s="186"/>
      <c r="Q129" s="186"/>
      <c r="R129" s="186"/>
      <c r="S129" s="186"/>
      <c r="T129" s="186"/>
      <c r="U129" s="186"/>
      <c r="V129" s="186"/>
      <c r="W129" s="186"/>
    </row>
    <row r="130" spans="6:23">
      <c r="F130" s="125" t="s">
        <v>242</v>
      </c>
      <c r="G130" s="125" t="s">
        <v>259</v>
      </c>
      <c r="H130" s="125" t="s">
        <v>288</v>
      </c>
      <c r="I130" s="125" t="s">
        <v>136</v>
      </c>
      <c r="J130" s="128">
        <f>SUM(Tabela1[[#This Row],[jan./26]:[dez./26]])</f>
        <v>185.85</v>
      </c>
      <c r="K130" s="132">
        <f>Tabela1[[#This Row],[Coluna1]]/Tabela1[[#Totals],[Coluna1]]</f>
        <v>1.3477130093406112E-4</v>
      </c>
      <c r="L130" s="184">
        <v>154.82</v>
      </c>
      <c r="M130" s="184">
        <v>31.03</v>
      </c>
      <c r="N130" s="184">
        <v>0</v>
      </c>
      <c r="O130" s="186">
        <v>0</v>
      </c>
      <c r="P130" s="186"/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259</v>
      </c>
      <c r="H131" s="125" t="s">
        <v>435</v>
      </c>
      <c r="I131" s="125" t="s">
        <v>151</v>
      </c>
      <c r="J131" s="128">
        <f>SUM(Tabela1[[#This Row],[jan./26]:[dez./26]])</f>
        <v>138.91999999999999</v>
      </c>
      <c r="K131" s="132">
        <f>Tabela1[[#This Row],[Coluna1]]/Tabela1[[#Totals],[Coluna1]]</f>
        <v>1.0073946260833883E-4</v>
      </c>
      <c r="L131" s="186">
        <v>0</v>
      </c>
      <c r="M131" s="186">
        <v>0</v>
      </c>
      <c r="N131" s="186">
        <v>138.91</v>
      </c>
      <c r="O131" s="186">
        <v>0.01</v>
      </c>
      <c r="P131" s="186"/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242</v>
      </c>
      <c r="G132" s="125" t="s">
        <v>259</v>
      </c>
      <c r="H132" s="125" t="s">
        <v>437</v>
      </c>
      <c r="I132" s="125" t="s">
        <v>136</v>
      </c>
      <c r="J132" s="128">
        <f>SUM(Tabela1[[#This Row],[jan./26]:[dez./26]])</f>
        <v>121.85</v>
      </c>
      <c r="K132" s="132">
        <f>Tabela1[[#This Row],[Coluna1]]/Tabela1[[#Totals],[Coluna1]]</f>
        <v>8.8360952482191806E-5</v>
      </c>
      <c r="L132" s="186">
        <v>0</v>
      </c>
      <c r="M132" s="186">
        <v>0</v>
      </c>
      <c r="N132" s="186">
        <v>121.85</v>
      </c>
      <c r="O132" s="186">
        <v>0</v>
      </c>
      <c r="P132" s="186"/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259</v>
      </c>
      <c r="H133" s="125" t="s">
        <v>439</v>
      </c>
      <c r="I133" s="125" t="s">
        <v>140</v>
      </c>
      <c r="J133" s="128">
        <f>SUM(Tabela1[[#This Row],[jan./26]:[dez./26]])</f>
        <v>54.89</v>
      </c>
      <c r="K133" s="132">
        <f>Tabela1[[#This Row],[Coluna1]]/Tabela1[[#Totals],[Coluna1]]</f>
        <v>3.9804125414423543E-5</v>
      </c>
      <c r="L133" s="186">
        <v>54.89</v>
      </c>
      <c r="M133" s="186">
        <v>0</v>
      </c>
      <c r="N133" s="186">
        <v>0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259</v>
      </c>
      <c r="H134" s="125" t="s">
        <v>440</v>
      </c>
      <c r="I134" s="125" t="s">
        <v>138</v>
      </c>
      <c r="J134" s="128">
        <f>SUM(Tabela1[[#This Row],[jan./26]:[dez./26]])</f>
        <v>41.28</v>
      </c>
      <c r="K134" s="132">
        <f>Tabela1[[#This Row],[Coluna1]]/Tabela1[[#Totals],[Coluna1]]</f>
        <v>2.993467475145571E-5</v>
      </c>
      <c r="L134" s="186">
        <v>41.28</v>
      </c>
      <c r="M134" s="186">
        <v>0</v>
      </c>
      <c r="N134" s="186">
        <v>0</v>
      </c>
      <c r="O134" s="186">
        <v>0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242</v>
      </c>
      <c r="G135" s="125" t="s">
        <v>262</v>
      </c>
      <c r="H135" s="125" t="s">
        <v>290</v>
      </c>
      <c r="I135" s="125" t="s">
        <v>232</v>
      </c>
      <c r="J135" s="128">
        <f>SUM(Tabela1[[#This Row],[jan./26]:[dez./26]])</f>
        <v>234.62</v>
      </c>
      <c r="K135" s="132">
        <f>Tabela1[[#This Row],[Coluna1]]/Tabela1[[#Totals],[Coluna1]]</f>
        <v>1.7013743677777468E-4</v>
      </c>
      <c r="L135" s="186">
        <v>0</v>
      </c>
      <c r="M135" s="186">
        <v>0</v>
      </c>
      <c r="N135" s="186">
        <v>234.62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242</v>
      </c>
      <c r="G136" s="125" t="s">
        <v>262</v>
      </c>
      <c r="H136" s="125" t="s">
        <v>441</v>
      </c>
      <c r="I136" s="125" t="s">
        <v>232</v>
      </c>
      <c r="J136" s="128">
        <f>SUM(Tabela1[[#This Row],[jan./26]:[dez./26]])</f>
        <v>121.05</v>
      </c>
      <c r="K136" s="132">
        <f>Tabela1[[#This Row],[Coluna1]]/Tabela1[[#Totals],[Coluna1]]</f>
        <v>8.7780823126543451E-5</v>
      </c>
      <c r="L136" s="186">
        <v>121.05</v>
      </c>
      <c r="M136" s="186">
        <v>0</v>
      </c>
      <c r="N136" s="186">
        <v>0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242</v>
      </c>
      <c r="G137" s="125" t="s">
        <v>262</v>
      </c>
      <c r="H137" s="125" t="s">
        <v>291</v>
      </c>
      <c r="I137" s="125" t="s">
        <v>134</v>
      </c>
      <c r="J137" s="128">
        <f>SUM(Tabela1[[#This Row],[jan./26]:[dez./26]])</f>
        <v>80.38</v>
      </c>
      <c r="K137" s="132">
        <f>Tabela1[[#This Row],[Coluna1]]/Tabela1[[#Totals],[Coluna1]]</f>
        <v>5.8288497008769611E-5</v>
      </c>
      <c r="L137" s="186">
        <v>0</v>
      </c>
      <c r="M137" s="186">
        <v>80.38</v>
      </c>
      <c r="N137" s="186">
        <v>0</v>
      </c>
      <c r="O137" s="186">
        <v>0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s="125" t="s">
        <v>262</v>
      </c>
      <c r="H138" s="125" t="s">
        <v>292</v>
      </c>
      <c r="I138" s="125" t="s">
        <v>135</v>
      </c>
      <c r="J138" s="128">
        <f>SUM(Tabela1[[#This Row],[jan./26]:[dez./26]])</f>
        <v>1.51</v>
      </c>
      <c r="K138" s="132">
        <f>Tabela1[[#This Row],[Coluna1]]/Tabela1[[#Totals],[Coluna1]]</f>
        <v>1.0949941587862917E-6</v>
      </c>
      <c r="L138" s="186">
        <v>0</v>
      </c>
      <c r="M138" s="186">
        <v>1.28</v>
      </c>
      <c r="N138" s="186">
        <v>0.23</v>
      </c>
      <c r="O138" s="186">
        <v>0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242</v>
      </c>
      <c r="G139" s="125" t="s">
        <v>264</v>
      </c>
      <c r="H139" s="125" t="s">
        <v>283</v>
      </c>
      <c r="I139" s="125" t="s">
        <v>134</v>
      </c>
      <c r="J139" s="128">
        <f>SUM(Tabela1[[#This Row],[jan./26]:[dez./26]])</f>
        <v>294.47000000000003</v>
      </c>
      <c r="K139" s="132">
        <f>Tabela1[[#This Row],[Coluna1]]/Tabela1[[#Totals],[Coluna1]]</f>
        <v>2.1353836419721811E-4</v>
      </c>
      <c r="L139" s="186">
        <v>174.83</v>
      </c>
      <c r="M139" s="186">
        <v>0</v>
      </c>
      <c r="N139" s="186">
        <v>0</v>
      </c>
      <c r="O139" s="186">
        <v>119.64</v>
      </c>
      <c r="P139" s="186"/>
      <c r="Q139" s="186"/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267</v>
      </c>
      <c r="H140" s="125" t="s">
        <v>443</v>
      </c>
      <c r="I140" s="125" t="s">
        <v>136</v>
      </c>
      <c r="J140" s="128">
        <f>SUM(Tabela1[[#This Row],[jan./26]:[dez./26]])</f>
        <v>101.11</v>
      </c>
      <c r="K140" s="132">
        <f>Tabela1[[#This Row],[Coluna1]]/Tabela1[[#Totals],[Coluna1]]</f>
        <v>7.3321098937007917E-5</v>
      </c>
      <c r="L140" s="186">
        <v>101.11</v>
      </c>
      <c r="M140" s="186">
        <v>0</v>
      </c>
      <c r="N140" s="186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273</v>
      </c>
      <c r="H141" s="125" t="s">
        <v>297</v>
      </c>
      <c r="I141" s="125" t="s">
        <v>235</v>
      </c>
      <c r="J141" s="128">
        <f>SUM(Tabela1[[#This Row],[jan./26]:[dez./26]])</f>
        <v>11.030000000000001</v>
      </c>
      <c r="K141" s="132">
        <f>Tabela1[[#This Row],[Coluna1]]/Tabela1[[#Totals],[Coluna1]]</f>
        <v>7.9985334910018535E-6</v>
      </c>
      <c r="L141" s="186">
        <v>0</v>
      </c>
      <c r="M141" s="186">
        <v>5.4</v>
      </c>
      <c r="N141" s="186">
        <v>0</v>
      </c>
      <c r="O141" s="186">
        <v>5.63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94"/>
      <c r="G142" s="194"/>
      <c r="H142" s="194"/>
      <c r="I142" s="194"/>
      <c r="J142" s="195">
        <f>SUBTOTAL(109,Tabela1[Coluna1])</f>
        <v>1379002.7900000007</v>
      </c>
      <c r="K142" s="351">
        <f>SUBTOTAL(109,Tabela1[100%])</f>
        <v>0.99888833437385494</v>
      </c>
      <c r="L142" s="194"/>
      <c r="M142" s="194"/>
      <c r="N142" s="194"/>
      <c r="O142" s="194"/>
      <c r="P142" s="352">
        <f>SUBTOTAL(109,Tabela1[mai./26])</f>
        <v>280476.22999999969</v>
      </c>
      <c r="Q142" s="194"/>
      <c r="R142" s="194"/>
      <c r="S142" s="194"/>
      <c r="T142" s="194"/>
      <c r="U142" s="194"/>
      <c r="V142" s="194"/>
      <c r="W142" s="194"/>
    </row>
  </sheetData>
  <autoFilter ref="E14:F141" xr:uid="{00000000-0009-0000-0000-00000D000000}"/>
  <phoneticPr fontId="43" type="noConversion"/>
  <conditionalFormatting sqref="H39:H81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AC1" zoomScale="136" zoomScaleNormal="90" workbookViewId="0">
      <selection activeCell="J116" sqref="J116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bestFit="1" customWidth="1" outlineLevel="2"/>
    <col min="18" max="19" width="13.83203125" style="125" bestFit="1" customWidth="1" outlineLevel="3"/>
    <col min="20" max="20" width="16.1640625" style="125" customWidth="1" outlineLevel="1"/>
    <col min="21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4.83203125" style="186" bestFit="1" customWidth="1"/>
    <col min="35" max="35" width="13.164062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397" t="s">
        <v>299</v>
      </c>
      <c r="AD10" s="129"/>
    </row>
    <row r="11" spans="3:44">
      <c r="AC11" s="397"/>
      <c r="AD11" s="129"/>
    </row>
    <row r="12" spans="3:44" ht="15.75" customHeight="1"/>
    <row r="13" spans="3:44" ht="15.75" customHeight="1">
      <c r="E13" s="126">
        <f>Tabela8[[#Totals],[YTD]]</f>
        <v>1469544.5599999998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319892.7855</v>
      </c>
      <c r="N13" s="124">
        <f>Tabela8[[#Totals],[YTD]]</f>
        <v>1469544.5599999998</v>
      </c>
      <c r="O13" s="129" t="s">
        <v>220</v>
      </c>
      <c r="P13" s="190">
        <f>Tabela8[[#Totals],[jan./26]]</f>
        <v>482609.56000000006</v>
      </c>
      <c r="Q13" s="190">
        <f>Tabela8[[#Totals],[fev./26]]</f>
        <v>217961.79999999996</v>
      </c>
      <c r="R13" s="190">
        <f>Tabela8[[#Totals],[mar./26]]</f>
        <v>237074.74999999994</v>
      </c>
      <c r="S13" s="190">
        <f>Tabela8[[#Totals],[abr./26]]</f>
        <v>291205.27000000014</v>
      </c>
      <c r="T13" s="190">
        <f>Tabela8[[#Totals],[mai/26]]</f>
        <v>240693.17999999996</v>
      </c>
      <c r="U13" s="190">
        <f>Tabela8[[#Totals],[jun/26]]</f>
        <v>0</v>
      </c>
      <c r="V13" s="190">
        <f>Tabela8[[#Totals],[jul/26]]</f>
        <v>0</v>
      </c>
      <c r="W13" s="190">
        <f>Tabela8[[#Totals],[ago/26]]</f>
        <v>0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473</v>
      </c>
      <c r="J14" s="130" t="s">
        <v>474</v>
      </c>
      <c r="K14" s="130" t="s">
        <v>475</v>
      </c>
      <c r="L14" s="130" t="s">
        <v>476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569</v>
      </c>
      <c r="U14" s="262" t="s">
        <v>570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473</v>
      </c>
      <c r="AH14" s="190" t="s">
        <v>244</v>
      </c>
      <c r="AI14" s="190" t="s">
        <v>170</v>
      </c>
      <c r="AJ14" s="129" t="s">
        <v>155</v>
      </c>
      <c r="AL14" s="129" t="s">
        <v>474</v>
      </c>
      <c r="AM14" s="190" t="s">
        <v>244</v>
      </c>
      <c r="AN14" s="190" t="s">
        <v>496</v>
      </c>
      <c r="AO14" s="129" t="s">
        <v>155</v>
      </c>
      <c r="AQ14" s="125"/>
      <c r="AR14" s="127"/>
    </row>
    <row r="15" spans="3:44" ht="15.75" customHeight="1">
      <c r="F15" s="125" t="s">
        <v>242</v>
      </c>
      <c r="G15" s="125" t="s">
        <v>661</v>
      </c>
      <c r="H15" s="125" t="s">
        <v>460</v>
      </c>
      <c r="I15" s="125" t="s">
        <v>490</v>
      </c>
      <c r="J15" s="125" t="s">
        <v>480</v>
      </c>
      <c r="K15" s="125" t="s">
        <v>481</v>
      </c>
      <c r="M15" s="187">
        <f>AVERAGE(Tabela8[[#This Row],[jan./26]:[dez/26]])</f>
        <v>350</v>
      </c>
      <c r="N15" s="128">
        <f>SUM(Tabela8[[#This Row],[jan./26]:[dez/26]])</f>
        <v>1400</v>
      </c>
      <c r="O15" s="19">
        <f>Tabela8[[#This Row],[YTD]]/Tabela8[[#Totals],[YTD]]</f>
        <v>9.5267611347559281E-4</v>
      </c>
      <c r="P15" s="184">
        <v>0</v>
      </c>
      <c r="Q15" s="184">
        <v>1400</v>
      </c>
      <c r="R15" s="184">
        <v>0</v>
      </c>
      <c r="S15" s="184">
        <v>0</v>
      </c>
      <c r="T15" s="184"/>
      <c r="U15" s="184"/>
      <c r="V15" s="184"/>
      <c r="W15" s="184"/>
      <c r="X15" s="184"/>
      <c r="Y15" s="184"/>
      <c r="Z15" s="184"/>
      <c r="AA15" s="184"/>
      <c r="AC15" s="130" t="s">
        <v>458</v>
      </c>
      <c r="AD15" s="19">
        <f>Tabela4[[#This Row],[Valor]]/Tabela4[[#Totals],[Valor]]</f>
        <v>7.2550052734819585E-7</v>
      </c>
      <c r="AE15" s="5">
        <f t="shared" ref="AE15:AE34" si="0">SUMIF($G$15:$G$127,AC15,$N$15:$N$127)</f>
        <v>0.8</v>
      </c>
      <c r="AF15" s="132"/>
      <c r="AG15" s="125" t="s">
        <v>214</v>
      </c>
      <c r="AH15" s="186">
        <f>SUMIF(Tabela8[Destino],Tabela10[[#This Row],[Destino]],Tabela8[YTD])</f>
        <v>253921.69999999998</v>
      </c>
      <c r="AI15" s="186">
        <f>Tabela10[[#This Row],[R$]]/4</f>
        <v>63480.424999999996</v>
      </c>
      <c r="AJ15" s="191">
        <f>Tabela10[[#This Row],[R$]]/Tabela10[[#Totals],[R$]]</f>
        <v>0.17278938448793957</v>
      </c>
      <c r="AL15" s="125" t="s">
        <v>477</v>
      </c>
      <c r="AM15" s="187">
        <f>SUMIF(Tabela8[Natureza],Tabela11[[#This Row],[Natureza]],Tabela8[YTD])</f>
        <v>341433.11</v>
      </c>
      <c r="AN15" s="187">
        <f>Tabela11[[#This Row],[R$]]/4</f>
        <v>85358.277499999997</v>
      </c>
      <c r="AO15" s="191">
        <f>Tabela11[[#This Row],[R$]]/Tabela11[[#Totals],[R$]]</f>
        <v>0.23233940589048899</v>
      </c>
      <c r="AQ15" s="125"/>
      <c r="AR15" s="127"/>
    </row>
    <row r="16" spans="3:44" ht="15.75" customHeight="1">
      <c r="F16" s="125" t="s">
        <v>242</v>
      </c>
      <c r="G16" s="125" t="s">
        <v>463</v>
      </c>
      <c r="H16" s="125" t="s">
        <v>366</v>
      </c>
      <c r="I16" s="125" t="s">
        <v>490</v>
      </c>
      <c r="J16" s="125" t="s">
        <v>480</v>
      </c>
      <c r="K16" s="125" t="s">
        <v>481</v>
      </c>
      <c r="M16" s="187">
        <f>AVERAGE(Tabela8[[#This Row],[jan./26]:[dez/26]])</f>
        <v>2000</v>
      </c>
      <c r="N16" s="128">
        <f>SUM(Tabela8[[#This Row],[jan./26]:[dez/26]])</f>
        <v>8000</v>
      </c>
      <c r="O16" s="19">
        <f>Tabela8[[#This Row],[YTD]]/Tabela8[[#Totals],[YTD]]</f>
        <v>5.4438635055748166E-3</v>
      </c>
      <c r="P16" s="184">
        <v>8000</v>
      </c>
      <c r="Q16" s="184">
        <v>0</v>
      </c>
      <c r="R16" s="184">
        <v>0</v>
      </c>
      <c r="S16" s="184">
        <v>0</v>
      </c>
      <c r="T16" s="184"/>
      <c r="U16" s="184"/>
      <c r="V16" s="184"/>
      <c r="W16" s="184"/>
      <c r="X16" s="184"/>
      <c r="Y16" s="184"/>
      <c r="Z16" s="184"/>
      <c r="AA16" s="184"/>
      <c r="AC16" s="130" t="s">
        <v>310</v>
      </c>
      <c r="AD16" s="19">
        <f>Tabela4[[#This Row],[Valor]]/Tabela4[[#Totals],[Valor]]</f>
        <v>7.5903678922486617E-4</v>
      </c>
      <c r="AE16" s="5">
        <f t="shared" si="0"/>
        <v>836.98</v>
      </c>
      <c r="AF16" s="126"/>
      <c r="AG16" s="125" t="s">
        <v>446</v>
      </c>
      <c r="AH16" s="186">
        <f>SUMIF(Tabela8[Destino],Tabela10[[#This Row],[Destino]],Tabela8[YTD])</f>
        <v>65020.189999999995</v>
      </c>
      <c r="AI16" s="186">
        <f>Tabela10[[#This Row],[R$]]/4</f>
        <v>16255.047499999999</v>
      </c>
      <c r="AJ16" s="191">
        <f>Tabela10[[#This Row],[R$]]/Tabela10[[#Totals],[R$]]</f>
        <v>4.4245129933317563E-2</v>
      </c>
      <c r="AL16" s="125" t="s">
        <v>482</v>
      </c>
      <c r="AM16" s="187">
        <f>SUMIF(Tabela8[Natureza],Tabela11[[#This Row],[Natureza]],Tabela8[YTD])</f>
        <v>391417.77999999991</v>
      </c>
      <c r="AN16" s="187">
        <f>Tabela11[[#This Row],[R$]]/4</f>
        <v>97854.444999999978</v>
      </c>
      <c r="AO16" s="191">
        <f>Tabela11[[#This Row],[R$]]/Tabela11[[#Totals],[R$]]</f>
        <v>0.26635312099688896</v>
      </c>
      <c r="AQ16" s="125"/>
      <c r="AR16" s="127"/>
    </row>
    <row r="17" spans="6:44" ht="15.75" customHeight="1">
      <c r="F17" s="125" t="s">
        <v>242</v>
      </c>
      <c r="G17" s="125" t="s">
        <v>470</v>
      </c>
      <c r="H17" s="125" t="s">
        <v>342</v>
      </c>
      <c r="I17" s="125" t="s">
        <v>494</v>
      </c>
      <c r="J17" s="125" t="s">
        <v>480</v>
      </c>
      <c r="K17" s="125" t="s">
        <v>481</v>
      </c>
      <c r="M17" s="187">
        <f>AVERAGE(Tabela8[[#This Row],[jan./26]:[dez/26]])</f>
        <v>1985.578</v>
      </c>
      <c r="N17" s="128">
        <f>SUM(Tabela8[[#This Row],[jan./26]:[dez/26]])</f>
        <v>9927.89</v>
      </c>
      <c r="O17" s="19">
        <f>Tabela8[[#This Row],[YTD]]/Tabela8[[#Totals],[YTD]]</f>
        <v>6.7557597572951451E-3</v>
      </c>
      <c r="P17" s="184">
        <v>1129.78</v>
      </c>
      <c r="Q17" s="184">
        <v>1290.21</v>
      </c>
      <c r="R17" s="184">
        <v>2382.27</v>
      </c>
      <c r="S17" s="184">
        <v>1853.04</v>
      </c>
      <c r="T17" s="184">
        <v>3272.59</v>
      </c>
      <c r="U17" s="184"/>
      <c r="V17" s="184"/>
      <c r="W17" s="184"/>
      <c r="X17" s="184"/>
      <c r="Y17" s="184"/>
      <c r="Z17" s="184"/>
      <c r="AA17" s="184"/>
      <c r="AC17" s="130" t="s">
        <v>304</v>
      </c>
      <c r="AD17" s="19">
        <f>Tabela4[[#This Row],[Valor]]/Tabela4[[#Totals],[Valor]]</f>
        <v>0</v>
      </c>
      <c r="AE17" s="5">
        <f t="shared" si="0"/>
        <v>0</v>
      </c>
      <c r="AF17" s="126"/>
      <c r="AG17" s="125" t="s">
        <v>484</v>
      </c>
      <c r="AH17" s="186">
        <f>SUMIF(Tabela8[Destino],Tabela10[[#This Row],[Destino]],Tabela8[YTD])</f>
        <v>24886.61</v>
      </c>
      <c r="AI17" s="186">
        <f>Tabela10[[#This Row],[R$]]/4</f>
        <v>6221.6525000000001</v>
      </c>
      <c r="AJ17" s="191">
        <f>Tabela10[[#This Row],[R$]]/Tabela10[[#Totals],[R$]]</f>
        <v>1.6934913494559157E-2</v>
      </c>
      <c r="AL17" s="125" t="s">
        <v>480</v>
      </c>
      <c r="AM17" s="187">
        <f>SUMIF(Tabela8[Natureza],Tabela11[[#This Row],[Natureza]],Tabela8[YTD])</f>
        <v>212421.65000000005</v>
      </c>
      <c r="AN17" s="187">
        <f>Tabela11[[#This Row],[R$]]/4</f>
        <v>53105.412500000013</v>
      </c>
      <c r="AO17" s="191">
        <f>Tabela11[[#This Row],[R$]]/Tabela11[[#Totals],[R$]]</f>
        <v>0.14454930852862338</v>
      </c>
      <c r="AQ17" s="125"/>
      <c r="AR17" s="127"/>
    </row>
    <row r="18" spans="6:44" ht="15.75" customHeight="1">
      <c r="F18" s="125" t="s">
        <v>242</v>
      </c>
      <c r="G18" s="125" t="s">
        <v>324</v>
      </c>
      <c r="H18" s="125" t="s">
        <v>461</v>
      </c>
      <c r="I18" s="125" t="s">
        <v>494</v>
      </c>
      <c r="J18" s="125" t="s">
        <v>480</v>
      </c>
      <c r="K18" s="125" t="s">
        <v>481</v>
      </c>
      <c r="M18" s="187">
        <f>AVERAGE(Tabela8[[#This Row],[jan./26]:[dez/26]])</f>
        <v>245</v>
      </c>
      <c r="N18" s="128">
        <f>SUM(Tabela8[[#This Row],[jan./26]:[dez/26]])</f>
        <v>980</v>
      </c>
      <c r="O18" s="19">
        <f>Tabela8[[#This Row],[YTD]]/Tabela8[[#Totals],[YTD]]</f>
        <v>6.6687327943291497E-4</v>
      </c>
      <c r="P18" s="184">
        <v>0</v>
      </c>
      <c r="Q18" s="184">
        <v>980</v>
      </c>
      <c r="R18" s="184">
        <v>0</v>
      </c>
      <c r="S18" s="184">
        <v>0</v>
      </c>
      <c r="T18" s="184"/>
      <c r="U18" s="184"/>
      <c r="V18" s="184"/>
      <c r="W18" s="184"/>
      <c r="X18" s="184"/>
      <c r="Y18" s="184"/>
      <c r="Z18" s="184"/>
      <c r="AA18" s="184"/>
      <c r="AC18" s="130" t="s">
        <v>306</v>
      </c>
      <c r="AD18" s="19">
        <f>Tabela4[[#This Row],[Valor]]/Tabela4[[#Totals],[Valor]]</f>
        <v>2.5772952796215064E-3</v>
      </c>
      <c r="AE18" s="5">
        <f t="shared" si="0"/>
        <v>2841.95</v>
      </c>
      <c r="AF18" s="126"/>
      <c r="AG18" s="125" t="s">
        <v>211</v>
      </c>
      <c r="AH18" s="186">
        <f>SUMIF(Tabela8[Destino],Tabela10[[#This Row],[Destino]],Tabela8[YTD])</f>
        <v>211460.25</v>
      </c>
      <c r="AI18" s="186">
        <f>Tabela10[[#This Row],[R$]]/4</f>
        <v>52865.0625</v>
      </c>
      <c r="AJ18" s="191">
        <f>Tabela10[[#This Row],[R$]]/Tabela10[[#Totals],[R$]]</f>
        <v>0.14389509223184085</v>
      </c>
      <c r="AL18" s="125" t="s">
        <v>481</v>
      </c>
      <c r="AM18" s="187">
        <f>SUMIF(Tabela8[Natureza],Tabela11[[#This Row],[Natureza]],Tabela8[YTD])</f>
        <v>24886.61</v>
      </c>
      <c r="AN18" s="187">
        <f>Tabela11[[#This Row],[R$]]/4</f>
        <v>6221.6525000000001</v>
      </c>
      <c r="AO18" s="191">
        <f>Tabela11[[#This Row],[R$]]/Tabela11[[#Totals],[R$]]</f>
        <v>1.693491349455916E-2</v>
      </c>
      <c r="AQ18" s="125"/>
      <c r="AR18" s="127"/>
    </row>
    <row r="19" spans="6:44" ht="15.75" customHeight="1">
      <c r="F19" s="125" t="s">
        <v>448</v>
      </c>
      <c r="G19" s="125" t="s">
        <v>213</v>
      </c>
      <c r="H19" s="125" t="s">
        <v>366</v>
      </c>
      <c r="I19" s="125" t="s">
        <v>479</v>
      </c>
      <c r="J19" s="125" t="s">
        <v>480</v>
      </c>
      <c r="K19" s="125" t="s">
        <v>481</v>
      </c>
      <c r="M19" s="187">
        <f>AVERAGE(Tabela8[[#This Row],[jan./26]:[dez/26]])</f>
        <v>1750</v>
      </c>
      <c r="N19" s="128">
        <f>SUM(Tabela8[[#This Row],[jan./26]:[dez/26]])</f>
        <v>7000</v>
      </c>
      <c r="O19" s="19">
        <f>Tabela8[[#This Row],[YTD]]/Tabela8[[#Totals],[YTD]]</f>
        <v>4.7633805673779643E-3</v>
      </c>
      <c r="P19" s="184">
        <v>7000</v>
      </c>
      <c r="Q19" s="184">
        <v>0</v>
      </c>
      <c r="R19" s="184">
        <v>0</v>
      </c>
      <c r="S19" s="184">
        <v>0</v>
      </c>
      <c r="T19" s="184"/>
      <c r="U19" s="184"/>
      <c r="V19" s="184"/>
      <c r="W19" s="184"/>
      <c r="X19" s="184"/>
      <c r="Y19" s="184"/>
      <c r="Z19" s="184"/>
      <c r="AA19" s="184"/>
      <c r="AC19" s="130" t="s">
        <v>0</v>
      </c>
      <c r="AD19" s="19">
        <f>Tabela4[[#This Row],[Valor]]/Tabela4[[#Totals],[Valor]]</f>
        <v>2.8435721106714776E-3</v>
      </c>
      <c r="AE19" s="5">
        <f t="shared" si="0"/>
        <v>3135.5699999999997</v>
      </c>
      <c r="AF19" s="126"/>
      <c r="AG19" s="125" t="s">
        <v>212</v>
      </c>
      <c r="AH19" s="186">
        <f>SUMIF(Tabela8[Destino],Tabela10[[#This Row],[Destino]],Tabela8[YTD])</f>
        <v>80740.459999999992</v>
      </c>
      <c r="AI19" s="186">
        <f>Tabela10[[#This Row],[R$]]/4</f>
        <v>20185.114999999998</v>
      </c>
      <c r="AJ19" s="191">
        <f>Tabela10[[#This Row],[R$]]/Tabela10[[#Totals],[R$]]</f>
        <v>5.4942505452165391E-2</v>
      </c>
      <c r="AL19" s="125" t="s">
        <v>495</v>
      </c>
      <c r="AM19" s="187">
        <f>SUMIF(Tabela8[Natureza],Tabela11[[#This Row],[Natureza]],Tabela8[YTD])</f>
        <v>499385.41</v>
      </c>
      <c r="AN19" s="187">
        <f>Tabela11[[#This Row],[R$]]/4</f>
        <v>124846.35249999999</v>
      </c>
      <c r="AO19" s="191">
        <f>Tabela11[[#This Row],[R$]]/Tabela11[[#Totals],[R$]]</f>
        <v>0.33982325108943962</v>
      </c>
      <c r="AQ19" s="125"/>
      <c r="AR19" s="127"/>
    </row>
    <row r="20" spans="6:44" ht="15.75" customHeight="1">
      <c r="F20" s="125" t="s">
        <v>448</v>
      </c>
      <c r="G20" s="125" t="s">
        <v>463</v>
      </c>
      <c r="H20" s="125" t="s">
        <v>366</v>
      </c>
      <c r="I20" s="125" t="s">
        <v>479</v>
      </c>
      <c r="J20" s="125" t="s">
        <v>480</v>
      </c>
      <c r="K20" s="125" t="s">
        <v>481</v>
      </c>
      <c r="M20" s="187">
        <f>AVERAGE(Tabela8[[#This Row],[jan./26]:[dez/26]])</f>
        <v>42254.29</v>
      </c>
      <c r="N20" s="128">
        <f>SUM(Tabela8[[#This Row],[jan./26]:[dez/26]])</f>
        <v>169017.16</v>
      </c>
      <c r="O20" s="19">
        <f>Tabela8[[#This Row],[YTD]]/Tabela8[[#Totals],[YTD]]</f>
        <v>0.11501329364248745</v>
      </c>
      <c r="P20" s="184">
        <v>169017.16</v>
      </c>
      <c r="Q20" s="184">
        <v>0</v>
      </c>
      <c r="R20" s="184">
        <v>0</v>
      </c>
      <c r="S20" s="184">
        <v>0</v>
      </c>
      <c r="T20" s="184"/>
      <c r="U20" s="184"/>
      <c r="V20" s="184"/>
      <c r="W20" s="184"/>
      <c r="X20" s="184"/>
      <c r="Y20" s="184"/>
      <c r="Z20" s="184"/>
      <c r="AA20" s="184"/>
      <c r="AC20" s="130" t="s">
        <v>469</v>
      </c>
      <c r="AD20" s="19">
        <f>Tabela4[[#This Row],[Valor]]/Tabela4[[#Totals],[Valor]]</f>
        <v>0</v>
      </c>
      <c r="AE20" s="5">
        <f t="shared" si="0"/>
        <v>0</v>
      </c>
      <c r="AF20" s="126"/>
      <c r="AG20" s="125" t="s">
        <v>486</v>
      </c>
      <c r="AH20" s="186">
        <f>SUMIF(Tabela8[Destino],Tabela10[[#This Row],[Destino]],Tabela8[YTD])</f>
        <v>48165.31</v>
      </c>
      <c r="AI20" s="186">
        <f>Tabela10[[#This Row],[R$]]/4</f>
        <v>12041.327499999999</v>
      </c>
      <c r="AJ20" s="191">
        <f>Tabela10[[#This Row],[R$]]/Tabela10[[#Totals],[R$]]</f>
        <v>3.2775671667962213E-2</v>
      </c>
      <c r="AL20" s="125" t="s">
        <v>150</v>
      </c>
      <c r="AM20" s="187">
        <f>SUBTOTAL(109,Tabela11[R$])</f>
        <v>1469544.5599999998</v>
      </c>
      <c r="AN20" s="187">
        <f>SUBTOTAL(109,Tabela11[/4])</f>
        <v>367386.13999999996</v>
      </c>
      <c r="AQ20" s="125"/>
      <c r="AR20" s="127"/>
    </row>
    <row r="21" spans="6:44" ht="15.75" customHeight="1">
      <c r="F21" s="125" t="s">
        <v>448</v>
      </c>
      <c r="G21" s="125" t="s">
        <v>568</v>
      </c>
      <c r="H21" s="125" t="s">
        <v>450</v>
      </c>
      <c r="I21" s="125" t="s">
        <v>484</v>
      </c>
      <c r="J21" s="125" t="s">
        <v>481</v>
      </c>
      <c r="K21" s="125" t="s">
        <v>481</v>
      </c>
      <c r="M21" s="187">
        <f>AVERAGE(Tabela8[[#This Row],[jan./26]:[dez/26]])</f>
        <v>5575.5825000000004</v>
      </c>
      <c r="N21" s="128">
        <f>SUM(Tabela8[[#This Row],[jan./26]:[dez/26]])</f>
        <v>22302.33</v>
      </c>
      <c r="O21" s="19">
        <f>Tabela8[[#This Row],[YTD]]/Tabela8[[#Totals],[YTD]]</f>
        <v>1.51763550470358E-2</v>
      </c>
      <c r="P21" s="184">
        <v>14014.57</v>
      </c>
      <c r="Q21" s="184">
        <v>8287.76</v>
      </c>
      <c r="R21" s="184">
        <v>0</v>
      </c>
      <c r="S21" s="184">
        <v>0</v>
      </c>
      <c r="T21" s="184"/>
      <c r="U21" s="184"/>
      <c r="V21" s="184"/>
      <c r="W21" s="184"/>
      <c r="X21" s="184"/>
      <c r="Y21" s="184"/>
      <c r="Z21" s="184"/>
      <c r="AA21" s="184"/>
      <c r="AC21" s="130" t="s">
        <v>324</v>
      </c>
      <c r="AD21" s="19">
        <f>Tabela4[[#This Row],[Valor]]/Tabela4[[#Totals],[Valor]]</f>
        <v>6.0513092110453821E-3</v>
      </c>
      <c r="AE21" s="5">
        <f t="shared" si="0"/>
        <v>6672.6999999999989</v>
      </c>
      <c r="AF21" s="126"/>
      <c r="AG21" s="125" t="s">
        <v>490</v>
      </c>
      <c r="AH21" s="186">
        <f>SUMIF(Tabela8[Destino],Tabela10[[#This Row],[Destino]],Tabela8[YTD])</f>
        <v>28346.080000000002</v>
      </c>
      <c r="AI21" s="186">
        <f>Tabela10[[#This Row],[R$]]/4</f>
        <v>7086.52</v>
      </c>
      <c r="AJ21" s="191">
        <f>Tabela10[[#This Row],[R$]]/Tabela10[[#Totals],[R$]]</f>
        <v>1.9289023804763022E-2</v>
      </c>
      <c r="AL21" s="125"/>
      <c r="AN21" s="127"/>
      <c r="AQ21" s="125"/>
      <c r="AR21" s="127"/>
    </row>
    <row r="22" spans="6:44" ht="15.75" customHeight="1">
      <c r="F22" s="125" t="s">
        <v>448</v>
      </c>
      <c r="G22" s="125" t="s">
        <v>568</v>
      </c>
      <c r="H22" s="125" t="s">
        <v>331</v>
      </c>
      <c r="I22" s="125" t="s">
        <v>484</v>
      </c>
      <c r="J22" s="125" t="s">
        <v>481</v>
      </c>
      <c r="K22" s="125" t="s">
        <v>481</v>
      </c>
      <c r="M22" s="187">
        <f>AVERAGE(Tabela8[[#This Row],[jan./26]:[dez/26]])</f>
        <v>646.06999999999994</v>
      </c>
      <c r="N22" s="128">
        <f>SUM(Tabela8[[#This Row],[jan./26]:[dez/26]])</f>
        <v>2584.2799999999997</v>
      </c>
      <c r="O22" s="19">
        <f>Tabela8[[#This Row],[YTD]]/Tabela8[[#Totals],[YTD]]</f>
        <v>1.7585584475233605E-3</v>
      </c>
      <c r="P22" s="184">
        <v>1270.96</v>
      </c>
      <c r="Q22" s="184">
        <v>1313.32</v>
      </c>
      <c r="R22" s="184">
        <v>0</v>
      </c>
      <c r="S22" s="184">
        <v>0</v>
      </c>
      <c r="T22" s="184"/>
      <c r="U22" s="184"/>
      <c r="V22" s="184"/>
      <c r="W22" s="184"/>
      <c r="X22" s="184"/>
      <c r="Y22" s="184"/>
      <c r="Z22" s="184"/>
      <c r="AA22" s="184"/>
      <c r="AC22" s="130" t="s">
        <v>470</v>
      </c>
      <c r="AD22" s="19">
        <f>Tabela4[[#This Row],[Valor]]/Tabela4[[#Totals],[Valor]]</f>
        <v>9.0033617880685996E-3</v>
      </c>
      <c r="AE22" s="5">
        <f t="shared" si="0"/>
        <v>9927.89</v>
      </c>
      <c r="AF22" s="126"/>
      <c r="AG22" s="125" t="s">
        <v>494</v>
      </c>
      <c r="AH22" s="186">
        <f>SUMIF(Tabela8[Destino],Tabela10[[#This Row],[Destino]],Tabela8[YTD])</f>
        <v>16601.39</v>
      </c>
      <c r="AI22" s="186">
        <f>Tabela10[[#This Row],[R$]]/4</f>
        <v>4150.3474999999999</v>
      </c>
      <c r="AJ22" s="191">
        <f>Tabela10[[#This Row],[R$]]/Tabela10[[#Totals],[R$]]</f>
        <v>1.1296962645351835E-2</v>
      </c>
      <c r="AL22" s="125"/>
      <c r="AN22" s="127"/>
      <c r="AQ22" s="125"/>
      <c r="AR22" s="127"/>
    </row>
    <row r="23" spans="6:44" ht="15.75" customHeight="1">
      <c r="F23" s="125" t="s">
        <v>448</v>
      </c>
      <c r="G23" s="125" t="s">
        <v>661</v>
      </c>
      <c r="H23" s="125" t="s">
        <v>350</v>
      </c>
      <c r="I23" s="125" t="s">
        <v>490</v>
      </c>
      <c r="J23" s="125" t="s">
        <v>480</v>
      </c>
      <c r="K23" s="125" t="s">
        <v>481</v>
      </c>
      <c r="M23" s="187">
        <f>AVERAGE(Tabela8[[#This Row],[jan./26]:[dez/26]])</f>
        <v>1126.5899999999999</v>
      </c>
      <c r="N23" s="128">
        <f>SUM(Tabela8[[#This Row],[jan./26]:[dez/26]])</f>
        <v>5632.95</v>
      </c>
      <c r="O23" s="19">
        <f>Tabela8[[#This Row],[YTD]]/Tabela8[[#Totals],[YTD]]</f>
        <v>3.8331263667159576E-3</v>
      </c>
      <c r="P23" s="184">
        <v>1837.95</v>
      </c>
      <c r="Q23" s="184">
        <v>948.75</v>
      </c>
      <c r="R23" s="184">
        <v>948.75</v>
      </c>
      <c r="S23" s="184">
        <v>948.75</v>
      </c>
      <c r="T23" s="184">
        <v>948.75</v>
      </c>
      <c r="U23" s="184"/>
      <c r="V23" s="184"/>
      <c r="W23" s="184"/>
      <c r="X23" s="184"/>
      <c r="Y23" s="184"/>
      <c r="Z23" s="184"/>
      <c r="AA23" s="184"/>
      <c r="AC23" s="130" t="s">
        <v>308</v>
      </c>
      <c r="AD23" s="19">
        <f>Tabela4[[#This Row],[Valor]]/Tabela4[[#Totals],[Valor]]</f>
        <v>1.1639295647813024E-3</v>
      </c>
      <c r="AE23" s="5">
        <f t="shared" si="0"/>
        <v>1283.45</v>
      </c>
      <c r="AF23" s="126"/>
      <c r="AG23" s="125" t="s">
        <v>135</v>
      </c>
      <c r="AH23" s="186">
        <f>SUMIF(Tabela8[Destino],Tabela10[[#This Row],[Destino]],Tabela8[YTD])</f>
        <v>191541.47999999998</v>
      </c>
      <c r="AI23" s="186">
        <f>Tabela10[[#This Row],[R$]]/4</f>
        <v>47885.369999999995</v>
      </c>
      <c r="AJ23" s="191">
        <f>Tabela10[[#This Row],[R$]]/Tabela10[[#Totals],[R$]]</f>
        <v>0.13034070909697354</v>
      </c>
      <c r="AL23" s="125"/>
      <c r="AN23" s="127"/>
      <c r="AQ23" s="125"/>
      <c r="AR23" s="127"/>
    </row>
    <row r="24" spans="6:44" ht="15.75" customHeight="1">
      <c r="F24" s="125" t="s">
        <v>448</v>
      </c>
      <c r="G24" s="125" t="s">
        <v>661</v>
      </c>
      <c r="H24" s="125" t="s">
        <v>364</v>
      </c>
      <c r="I24" s="125" t="s">
        <v>490</v>
      </c>
      <c r="J24" s="125" t="s">
        <v>480</v>
      </c>
      <c r="K24" s="125" t="s">
        <v>481</v>
      </c>
      <c r="M24" s="187">
        <f>AVERAGE(Tabela8[[#This Row],[jan./26]:[dez/26]])</f>
        <v>202.35499999999999</v>
      </c>
      <c r="N24" s="128">
        <f>SUM(Tabela8[[#This Row],[jan./26]:[dez/26]])</f>
        <v>809.42</v>
      </c>
      <c r="O24" s="19">
        <f>Tabela8[[#This Row],[YTD]]/Tabela8[[#Totals],[YTD]]</f>
        <v>5.5079649983529597E-4</v>
      </c>
      <c r="P24" s="184">
        <v>0</v>
      </c>
      <c r="Q24" s="184">
        <v>729.42</v>
      </c>
      <c r="R24" s="184">
        <v>80</v>
      </c>
      <c r="S24" s="184">
        <v>0</v>
      </c>
      <c r="T24" s="184"/>
      <c r="U24" s="184"/>
      <c r="V24" s="184"/>
      <c r="W24" s="184"/>
      <c r="X24" s="184"/>
      <c r="Y24" s="184"/>
      <c r="Z24" s="184"/>
      <c r="AA24" s="184"/>
      <c r="AC24" s="130" t="s">
        <v>467</v>
      </c>
      <c r="AD24" s="19">
        <f>Tabela4[[#This Row],[Valor]]/Tabela4[[#Totals],[Valor]]</f>
        <v>0</v>
      </c>
      <c r="AE24" s="5">
        <f t="shared" si="0"/>
        <v>0</v>
      </c>
      <c r="AF24" s="126"/>
      <c r="AG24" s="125" t="s">
        <v>151</v>
      </c>
      <c r="AH24" s="186">
        <f>SUMIF(Tabela8[Destino],Tabela10[[#This Row],[Destino]],Tabela8[YTD])</f>
        <v>82776.89</v>
      </c>
      <c r="AI24" s="186">
        <f>Tabela10[[#This Row],[R$]]/4</f>
        <v>20694.2225</v>
      </c>
      <c r="AJ24" s="191">
        <f>Tabela10[[#This Row],[R$]]/Tabela10[[#Totals],[R$]]</f>
        <v>5.6328261321997607E-2</v>
      </c>
      <c r="AL24" s="125"/>
      <c r="AN24" s="127"/>
      <c r="AQ24" s="125"/>
      <c r="AR24" s="127"/>
    </row>
    <row r="25" spans="6:44" ht="15.75" customHeight="1">
      <c r="F25" s="125" t="s">
        <v>448</v>
      </c>
      <c r="G25" s="125" t="s">
        <v>310</v>
      </c>
      <c r="H25" s="125" t="s">
        <v>328</v>
      </c>
      <c r="I25" s="125" t="s">
        <v>490</v>
      </c>
      <c r="J25" s="125" t="s">
        <v>480</v>
      </c>
      <c r="K25" s="125" t="s">
        <v>481</v>
      </c>
      <c r="M25" s="187">
        <f>AVERAGE(Tabela8[[#This Row],[jan./26]:[dez/26]])</f>
        <v>209.245</v>
      </c>
      <c r="N25" s="128">
        <f>SUM(Tabela8[[#This Row],[jan./26]:[dez/26]])</f>
        <v>836.98</v>
      </c>
      <c r="O25" s="19">
        <f>Tabela8[[#This Row],[YTD]]/Tabela8[[#Totals],[YTD]]</f>
        <v>5.6955060961200123E-4</v>
      </c>
      <c r="P25" s="184">
        <v>0</v>
      </c>
      <c r="Q25" s="184">
        <v>278.08999999999997</v>
      </c>
      <c r="R25" s="184">
        <v>0</v>
      </c>
      <c r="S25" s="184">
        <v>558.89</v>
      </c>
      <c r="T25" s="184"/>
      <c r="U25" s="184"/>
      <c r="V25" s="184"/>
      <c r="W25" s="184"/>
      <c r="X25" s="184"/>
      <c r="Y25" s="184"/>
      <c r="Z25" s="184"/>
      <c r="AA25" s="184"/>
      <c r="AC25" s="130" t="s">
        <v>468</v>
      </c>
      <c r="AD25" s="19">
        <f>Tabela4[[#This Row],[Valor]]/Tabela4[[#Totals],[Valor]]</f>
        <v>0</v>
      </c>
      <c r="AE25" s="5">
        <f t="shared" si="0"/>
        <v>0</v>
      </c>
      <c r="AF25" s="126"/>
      <c r="AG25" s="125" t="s">
        <v>134</v>
      </c>
      <c r="AH25" s="186">
        <f>SUMIF(Tabela8[Destino],Tabela10[[#This Row],[Destino]],Tabela8[YTD])</f>
        <v>76318.12999999999</v>
      </c>
      <c r="AI25" s="186">
        <f>Tabela10[[#This Row],[R$]]/4</f>
        <v>19079.532499999998</v>
      </c>
      <c r="AJ25" s="191">
        <f>Tabela10[[#This Row],[R$]]/Tabela10[[#Totals],[R$]]</f>
        <v>5.1933185340089304E-2</v>
      </c>
      <c r="AL25" s="125"/>
      <c r="AN25" s="127"/>
      <c r="AQ25" s="125"/>
      <c r="AR25" s="127"/>
    </row>
    <row r="26" spans="6:44" ht="15.75" customHeight="1">
      <c r="F26" s="125" t="s">
        <v>448</v>
      </c>
      <c r="G26" s="125" t="s">
        <v>458</v>
      </c>
      <c r="H26" s="125" t="s">
        <v>459</v>
      </c>
      <c r="I26" s="125" t="s">
        <v>494</v>
      </c>
      <c r="J26" s="125" t="s">
        <v>480</v>
      </c>
      <c r="K26" s="125" t="s">
        <v>481</v>
      </c>
      <c r="M26" s="187">
        <f>AVERAGE(Tabela8[[#This Row],[jan./26]:[dez/26]])</f>
        <v>0.2</v>
      </c>
      <c r="N26" s="128">
        <f>SUM(Tabela8[[#This Row],[jan./26]:[dez/26]])</f>
        <v>0.8</v>
      </c>
      <c r="O26" s="19">
        <f>Tabela8[[#This Row],[YTD]]/Tabela8[[#Totals],[YTD]]</f>
        <v>5.4438635055748168E-7</v>
      </c>
      <c r="P26" s="184">
        <v>0</v>
      </c>
      <c r="Q26" s="184">
        <v>0</v>
      </c>
      <c r="R26" s="184">
        <v>0</v>
      </c>
      <c r="S26" s="184">
        <v>0.8</v>
      </c>
      <c r="T26" s="184"/>
      <c r="U26" s="184"/>
      <c r="V26" s="184"/>
      <c r="W26" s="184"/>
      <c r="X26" s="184"/>
      <c r="Y26" s="184"/>
      <c r="Z26" s="184"/>
      <c r="AA26" s="184"/>
      <c r="AC26" s="130" t="s">
        <v>466</v>
      </c>
      <c r="AD26" s="19">
        <f>Tabela4[[#This Row],[Valor]]/Tabela4[[#Totals],[Valor]]</f>
        <v>0</v>
      </c>
      <c r="AE26" s="5">
        <f t="shared" si="0"/>
        <v>0</v>
      </c>
      <c r="AF26" s="126"/>
      <c r="AG26" s="125" t="s">
        <v>136</v>
      </c>
      <c r="AH26" s="186">
        <f>SUMIF(Tabela8[Destino],Tabela10[[#This Row],[Destino]],Tabela8[YTD])</f>
        <v>70894.399999999994</v>
      </c>
      <c r="AI26" s="186">
        <f>Tabela10[[#This Row],[R$]]/4</f>
        <v>17723.599999999999</v>
      </c>
      <c r="AJ26" s="191">
        <f>Tabela10[[#This Row],[R$]]/Tabela10[[#Totals],[R$]]</f>
        <v>4.8242429613702897E-2</v>
      </c>
      <c r="AL26" s="129" t="s">
        <v>475</v>
      </c>
      <c r="AM26" s="190" t="s">
        <v>244</v>
      </c>
      <c r="AN26" s="129" t="s">
        <v>496</v>
      </c>
      <c r="AO26" s="129" t="s">
        <v>155</v>
      </c>
      <c r="AQ26" s="125"/>
      <c r="AR26" s="127"/>
    </row>
    <row r="27" spans="6:44" ht="15.75" customHeight="1">
      <c r="F27" s="125" t="s">
        <v>448</v>
      </c>
      <c r="G27" s="125" t="s">
        <v>324</v>
      </c>
      <c r="H27" s="125" t="s">
        <v>368</v>
      </c>
      <c r="I27" s="125" t="s">
        <v>494</v>
      </c>
      <c r="J27" s="125" t="s">
        <v>480</v>
      </c>
      <c r="K27" s="125" t="s">
        <v>481</v>
      </c>
      <c r="M27" s="187">
        <f>AVERAGE(Tabela8[[#This Row],[jan./26]:[dez/26]])</f>
        <v>853.40599999999972</v>
      </c>
      <c r="N27" s="128">
        <f>SUM(Tabela8[[#This Row],[jan./26]:[dez/26]])</f>
        <v>4267.0299999999988</v>
      </c>
      <c r="O27" s="19">
        <f>Tabela8[[#This Row],[YTD]]/Tabela8[[#Totals],[YTD]]</f>
        <v>2.9036411117741127E-3</v>
      </c>
      <c r="P27" s="184">
        <v>3790.2</v>
      </c>
      <c r="Q27" s="184">
        <v>148.74</v>
      </c>
      <c r="R27" s="184">
        <v>182.61</v>
      </c>
      <c r="S27" s="184">
        <v>72.75</v>
      </c>
      <c r="T27" s="184">
        <v>72.73</v>
      </c>
      <c r="U27" s="184"/>
      <c r="V27" s="184"/>
      <c r="W27" s="184"/>
      <c r="X27" s="184"/>
      <c r="Y27" s="184"/>
      <c r="Z27" s="184"/>
      <c r="AA27" s="184"/>
      <c r="AC27" s="130" t="s">
        <v>318</v>
      </c>
      <c r="AD27" s="19">
        <f>Tabela4[[#This Row],[Valor]]/Tabela4[[#Totals],[Valor]]</f>
        <v>9.9183721219167371E-3</v>
      </c>
      <c r="AE27" s="5">
        <f t="shared" si="0"/>
        <v>10936.86</v>
      </c>
      <c r="AG27" s="125" t="s">
        <v>138</v>
      </c>
      <c r="AH27" s="186">
        <f>SUMIF(Tabela8[Destino],Tabela10[[#This Row],[Destino]],Tabela8[YTD])</f>
        <v>44935.71</v>
      </c>
      <c r="AI27" s="186">
        <f>Tabela10[[#This Row],[R$]]/4</f>
        <v>11233.9275</v>
      </c>
      <c r="AJ27" s="191">
        <f>Tabela10[[#This Row],[R$]]/Tabela10[[#Totals],[R$]]</f>
        <v>3.0577983970761662E-2</v>
      </c>
      <c r="AL27" s="125" t="s">
        <v>478</v>
      </c>
      <c r="AM27" s="187">
        <f>SUMIF(Tabela8[Utilidade],Tabela12[[#This Row],[Utilidade]],Tabela8[YTD])</f>
        <v>311622.01</v>
      </c>
      <c r="AN27" s="186">
        <f>Tabela12[[#This Row],[R$]]/4</f>
        <v>77905.502500000002</v>
      </c>
      <c r="AO27" s="191">
        <f>Tabela12[[#This Row],[R$]]/Tabela12[[#Totals],[R$]]</f>
        <v>0.21205346097160879</v>
      </c>
      <c r="AQ27" s="125"/>
      <c r="AR27" s="127"/>
    </row>
    <row r="28" spans="6:44" ht="15.75" customHeight="1">
      <c r="F28" s="125" t="s">
        <v>448</v>
      </c>
      <c r="G28" s="125" t="s">
        <v>324</v>
      </c>
      <c r="H28" s="125" t="s">
        <v>369</v>
      </c>
      <c r="I28" s="125" t="s">
        <v>494</v>
      </c>
      <c r="J28" s="125" t="s">
        <v>480</v>
      </c>
      <c r="K28" s="125" t="s">
        <v>481</v>
      </c>
      <c r="M28" s="187">
        <f>AVERAGE(Tabela8[[#This Row],[jan./26]:[dez/26]])</f>
        <v>356.41750000000002</v>
      </c>
      <c r="N28" s="128">
        <f>SUM(Tabela8[[#This Row],[jan./26]:[dez/26]])</f>
        <v>1425.67</v>
      </c>
      <c r="O28" s="19">
        <f>Tabela8[[#This Row],[YTD]]/Tabela8[[#Totals],[YTD]]</f>
        <v>9.7014411049910611E-4</v>
      </c>
      <c r="P28" s="184">
        <v>0</v>
      </c>
      <c r="Q28" s="184">
        <v>0.02</v>
      </c>
      <c r="R28" s="184">
        <v>1425.65</v>
      </c>
      <c r="S28" s="184">
        <v>0</v>
      </c>
      <c r="T28" s="184"/>
      <c r="U28" s="184"/>
      <c r="V28" s="184"/>
      <c r="W28" s="184"/>
      <c r="X28" s="184"/>
      <c r="Y28" s="184"/>
      <c r="Z28" s="184"/>
      <c r="AA28" s="184"/>
      <c r="AC28" s="130" t="s">
        <v>316</v>
      </c>
      <c r="AD28" s="19">
        <f>Tabela4[[#This Row],[Valor]]/Tabela4[[#Totals],[Valor]]</f>
        <v>0</v>
      </c>
      <c r="AE28" s="5">
        <f t="shared" si="0"/>
        <v>0</v>
      </c>
      <c r="AG28" s="125" t="s">
        <v>471</v>
      </c>
      <c r="AH28" s="186">
        <f>SUMIF(Tabela8[Destino],Tabela10[[#This Row],[Destino]],Tabela8[YTD])</f>
        <v>58351.040000000001</v>
      </c>
      <c r="AI28" s="186">
        <f>Tabela10[[#This Row],[R$]]/4</f>
        <v>14587.76</v>
      </c>
      <c r="AJ28" s="191">
        <f>Tabela10[[#This Row],[R$]]/Tabela10[[#Totals],[R$]]</f>
        <v>3.9706887146042036E-2</v>
      </c>
      <c r="AL28" s="125" t="s">
        <v>483</v>
      </c>
      <c r="AM28" s="187">
        <f>SUMIF(Tabela8[Utilidade],Tabela12[[#This Row],[Utilidade]],Tabela8[YTD])</f>
        <v>141067.11000000002</v>
      </c>
      <c r="AN28" s="186">
        <f>Tabela12[[#This Row],[R$]]/4</f>
        <v>35266.777500000004</v>
      </c>
      <c r="AO28" s="191">
        <f>Tabela12[[#This Row],[R$]]/Tabela12[[#Totals],[R$]]</f>
        <v>9.5993761495738517E-2</v>
      </c>
      <c r="AQ28" s="125"/>
      <c r="AR28" s="127"/>
    </row>
    <row r="29" spans="6:44" ht="15.75" customHeight="1">
      <c r="F29" s="125" t="s">
        <v>448</v>
      </c>
      <c r="G29" s="125" t="s">
        <v>676</v>
      </c>
      <c r="H29" s="125" t="s">
        <v>456</v>
      </c>
      <c r="I29" s="125" t="s">
        <v>212</v>
      </c>
      <c r="J29" s="125" t="s">
        <v>480</v>
      </c>
      <c r="K29" s="125" t="s">
        <v>481</v>
      </c>
      <c r="M29" s="187">
        <f>AVERAGE(Tabela8[[#This Row],[jan./26]:[dez/26]])</f>
        <v>172.55</v>
      </c>
      <c r="N29" s="128">
        <f>SUM(Tabela8[[#This Row],[jan./26]:[dez/26]])</f>
        <v>690.2</v>
      </c>
      <c r="O29" s="19">
        <f>Tabela8[[#This Row],[YTD]]/Tabela8[[#Totals],[YTD]]</f>
        <v>4.696693239434673E-4</v>
      </c>
      <c r="P29" s="184">
        <v>230.08</v>
      </c>
      <c r="Q29" s="184">
        <v>230.06</v>
      </c>
      <c r="R29" s="184">
        <v>230.06</v>
      </c>
      <c r="S29" s="184">
        <v>0</v>
      </c>
      <c r="T29" s="184"/>
      <c r="U29" s="184"/>
      <c r="V29" s="184"/>
      <c r="W29" s="184"/>
      <c r="X29" s="184"/>
      <c r="Y29" s="184"/>
      <c r="Z29" s="184"/>
      <c r="AA29" s="184"/>
      <c r="AC29" s="130" t="s">
        <v>464</v>
      </c>
      <c r="AD29" s="19">
        <f>Tabela4[[#This Row],[Valor]]/Tabela4[[#Totals],[Valor]]</f>
        <v>0</v>
      </c>
      <c r="AE29" s="5">
        <f t="shared" si="0"/>
        <v>0</v>
      </c>
      <c r="AF29" s="111"/>
      <c r="AG29" s="125" t="s">
        <v>232</v>
      </c>
      <c r="AH29" s="186">
        <f>SUMIF(Tabela8[Destino],Tabela10[[#This Row],[Destino]],Tabela8[YTD])</f>
        <v>32985.79</v>
      </c>
      <c r="AI29" s="186">
        <f>Tabela10[[#This Row],[R$]]/4</f>
        <v>8246.4475000000002</v>
      </c>
      <c r="AJ29" s="191">
        <f>Tabela10[[#This Row],[R$]]/Tabela10[[#Totals],[R$]]</f>
        <v>2.2446267297944338E-2</v>
      </c>
      <c r="AL29" s="125" t="s">
        <v>485</v>
      </c>
      <c r="AM29" s="187">
        <f>SUMIF(Tabela8[Utilidade],Tabela12[[#This Row],[Utilidade]],Tabela8[YTD])</f>
        <v>8439.92</v>
      </c>
      <c r="AN29" s="186">
        <f>Tabela12[[#This Row],[R$]]/4</f>
        <v>2109.98</v>
      </c>
      <c r="AO29" s="191">
        <f>Tabela12[[#This Row],[R$]]/Tabela12[[#Totals],[R$]]</f>
        <v>5.7432215597463749E-3</v>
      </c>
      <c r="AQ29" s="125"/>
      <c r="AR29" s="127"/>
    </row>
    <row r="30" spans="6:44" ht="15.75" customHeight="1">
      <c r="F30" s="125" t="s">
        <v>448</v>
      </c>
      <c r="G30" s="125" t="s">
        <v>677</v>
      </c>
      <c r="H30" s="125" t="s">
        <v>678</v>
      </c>
      <c r="I30" s="125" t="s">
        <v>212</v>
      </c>
      <c r="J30" s="125" t="s">
        <v>477</v>
      </c>
      <c r="K30" s="125" t="s">
        <v>481</v>
      </c>
      <c r="M30" s="187">
        <f>AVERAGE(Tabela8[[#This Row],[jan./26]:[dez/26]])</f>
        <v>25.97</v>
      </c>
      <c r="N30" s="128">
        <f>SUM(Tabela8[[#This Row],[jan./26]:[dez/26]])</f>
        <v>25.97</v>
      </c>
      <c r="O30" s="19"/>
      <c r="P30" s="184"/>
      <c r="Q30" s="184"/>
      <c r="R30" s="184"/>
      <c r="S30" s="184"/>
      <c r="T30" s="184">
        <v>25.97</v>
      </c>
      <c r="U30" s="184"/>
      <c r="V30" s="184"/>
      <c r="W30" s="184"/>
      <c r="X30" s="184"/>
      <c r="Y30" s="184"/>
      <c r="Z30" s="184"/>
      <c r="AA30" s="184"/>
      <c r="AC30" s="130" t="s">
        <v>465</v>
      </c>
      <c r="AD30" s="19">
        <f>Tabela4[[#This Row],[Valor]]/Tabela4[[#Totals],[Valor]]</f>
        <v>0</v>
      </c>
      <c r="AE30" s="5">
        <f t="shared" si="0"/>
        <v>0</v>
      </c>
      <c r="AG30" s="125" t="s">
        <v>140</v>
      </c>
      <c r="AH30" s="186">
        <f>SUMIF(Tabela8[Destino],Tabela10[[#This Row],[Destino]],Tabela8[YTD])</f>
        <v>4542.3200000000006</v>
      </c>
      <c r="AI30" s="186">
        <f>Tabela10[[#This Row],[R$]]/4</f>
        <v>1135.5800000000002</v>
      </c>
      <c r="AJ30" s="191">
        <f>Tabela10[[#This Row],[R$]]/Tabela10[[#Totals],[R$]]</f>
        <v>3.0909712598303249E-3</v>
      </c>
      <c r="AL30" s="125" t="s">
        <v>488</v>
      </c>
      <c r="AM30" s="187">
        <f>SUMIF(Tabela8[Utilidade],Tabela12[[#This Row],[Utilidade]],Tabela8[YTD])</f>
        <v>171947.57</v>
      </c>
      <c r="AN30" s="186">
        <f>Tabela12[[#This Row],[R$]]/4</f>
        <v>42986.892500000002</v>
      </c>
      <c r="AO30" s="191">
        <f>Tabela12[[#This Row],[R$]]/Tabela12[[#Totals],[R$]]</f>
        <v>0.11700738764940888</v>
      </c>
      <c r="AQ30" s="125"/>
      <c r="AR30" s="127"/>
    </row>
    <row r="31" spans="6:44" ht="15.75" customHeight="1">
      <c r="F31" s="125" t="s">
        <v>448</v>
      </c>
      <c r="G31" t="s">
        <v>463</v>
      </c>
      <c r="H31" t="s">
        <v>684</v>
      </c>
      <c r="I31" s="125" t="s">
        <v>212</v>
      </c>
      <c r="J31" s="125" t="s">
        <v>477</v>
      </c>
      <c r="K31" s="125" t="s">
        <v>481</v>
      </c>
      <c r="M31" s="187">
        <f>AVERAGE(Tabela8[[#This Row],[jan./26]:[dez/26]])</f>
        <v>600</v>
      </c>
      <c r="N31" s="128">
        <f>SUM(Tabela8[[#This Row],[jan./26]:[dez/26]])</f>
        <v>600</v>
      </c>
      <c r="O31" s="19"/>
      <c r="P31" s="184"/>
      <c r="Q31" s="184"/>
      <c r="R31" s="184"/>
      <c r="S31" s="184"/>
      <c r="T31" s="184">
        <v>600</v>
      </c>
      <c r="U31" s="184"/>
      <c r="V31" s="184"/>
      <c r="W31" s="184"/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0.11791214551364078</v>
      </c>
      <c r="AE31" s="5">
        <f t="shared" si="0"/>
        <v>130020.19000000002</v>
      </c>
      <c r="AG31" s="125" t="s">
        <v>472</v>
      </c>
      <c r="AH31" s="186">
        <f>SUMIF(Tabela8[Destino],Tabela10[[#This Row],[Destino]],Tabela8[YTD])</f>
        <v>1531.1000000000001</v>
      </c>
      <c r="AI31" s="186">
        <f>Tabela10[[#This Row],[R$]]/4</f>
        <v>382.77500000000003</v>
      </c>
      <c r="AJ31" s="191">
        <f>Tabela10[[#This Row],[R$]]/Tabela10[[#Totals],[R$]]</f>
        <v>1.0418874266732E-3</v>
      </c>
      <c r="AL31" s="125" t="s">
        <v>489</v>
      </c>
      <c r="AM31" s="187">
        <f>SUMIF(Tabela8[Utilidade],Tabela12[[#This Row],[Utilidade]],Tabela8[YTD])</f>
        <v>36581.86</v>
      </c>
      <c r="AN31" s="186">
        <f>Tabela12[[#This Row],[R$]]/4</f>
        <v>9145.4650000000001</v>
      </c>
      <c r="AO31" s="191">
        <f>Tabela12[[#This Row],[R$]]/Tabela12[[#Totals],[R$]]</f>
        <v>2.4893331577505892E-2</v>
      </c>
      <c r="AQ31" s="125"/>
      <c r="AR31" s="127"/>
    </row>
    <row r="32" spans="6:44" ht="15.75" customHeight="1">
      <c r="F32" s="125" t="s">
        <v>242</v>
      </c>
      <c r="G32" s="125" t="s">
        <v>213</v>
      </c>
      <c r="H32" s="125" t="s">
        <v>655</v>
      </c>
      <c r="I32" s="125" t="s">
        <v>135</v>
      </c>
      <c r="J32" s="125" t="s">
        <v>495</v>
      </c>
      <c r="K32" s="125" t="s">
        <v>495</v>
      </c>
      <c r="M32" s="187">
        <f>AVERAGE(Tabela8[[#This Row],[jan./26]:[dez/26]])</f>
        <v>8587.6539999999986</v>
      </c>
      <c r="N32" s="128">
        <f>SUM(Tabela8[[#This Row],[jan./26]:[dez/26]])</f>
        <v>42938.27</v>
      </c>
      <c r="O32" s="19">
        <f>Tabela8[[#This Row],[YTD]]/Tabela8[[#Totals],[YTD]]</f>
        <v>2.9218760130689744E-2</v>
      </c>
      <c r="P32" s="184">
        <v>5488.47</v>
      </c>
      <c r="Q32" s="184">
        <v>8429.14</v>
      </c>
      <c r="R32" s="184">
        <v>8905.17</v>
      </c>
      <c r="S32" s="184">
        <v>11479.03</v>
      </c>
      <c r="T32" s="184">
        <v>8636.4599999999991</v>
      </c>
      <c r="U32" s="184"/>
      <c r="V32" s="184"/>
      <c r="W32" s="184"/>
      <c r="X32" s="184"/>
      <c r="Y32" s="184"/>
      <c r="Z32" s="184"/>
      <c r="AA32" s="184"/>
      <c r="AC32" s="130" t="s">
        <v>463</v>
      </c>
      <c r="AD32" s="19">
        <f>Tabela4[[#This Row],[Valor]]/Tabela4[[#Totals],[Valor]]</f>
        <v>0.16107667905761108</v>
      </c>
      <c r="AE32" s="5">
        <f t="shared" si="0"/>
        <v>177617.16</v>
      </c>
      <c r="AG32" s="125" t="s">
        <v>233</v>
      </c>
      <c r="AH32" s="186">
        <f>SUMIF(Tabela8[Destino],Tabela10[[#This Row],[Destino]],Tabela8[YTD])</f>
        <v>508.54999999999995</v>
      </c>
      <c r="AI32" s="186">
        <f>Tabela10[[#This Row],[R$]]/4</f>
        <v>127.13749999999999</v>
      </c>
      <c r="AJ32" s="191">
        <f>Tabela10[[#This Row],[R$]]/Tabela10[[#Totals],[R$]]</f>
        <v>3.4605959822000903E-4</v>
      </c>
      <c r="AL32" s="125" t="s">
        <v>495</v>
      </c>
      <c r="AM32" s="187">
        <f>SUMIF(Tabela8[Utilidade],Tabela12[[#This Row],[Utilidade]],Tabela8[YTD])</f>
        <v>564385.40999999992</v>
      </c>
      <c r="AN32" s="186">
        <f>Tabela12[[#This Row],[R$]]/4</f>
        <v>141096.35249999998</v>
      </c>
      <c r="AO32" s="191">
        <f>Tabela12[[#This Row],[R$]]/Tabela12[[#Totals],[R$]]</f>
        <v>0.38405464207223489</v>
      </c>
      <c r="AQ32" s="125"/>
      <c r="AR32" s="127"/>
    </row>
    <row r="33" spans="6:44" ht="15.75" customHeight="1">
      <c r="F33" s="125" t="s">
        <v>242</v>
      </c>
      <c r="G33" s="125" t="s">
        <v>213</v>
      </c>
      <c r="H33" s="125" t="s">
        <v>656</v>
      </c>
      <c r="I33" s="125" t="s">
        <v>151</v>
      </c>
      <c r="J33" s="125" t="s">
        <v>495</v>
      </c>
      <c r="K33" s="125" t="s">
        <v>495</v>
      </c>
      <c r="M33" s="187">
        <f>AVERAGE(Tabela8[[#This Row],[jan./26]:[dez/26]])</f>
        <v>1162.6219999999998</v>
      </c>
      <c r="N33" s="128">
        <f>SUM(Tabela8[[#This Row],[jan./26]:[dez/26]])</f>
        <v>5813.11</v>
      </c>
      <c r="O33" s="19">
        <f>Tabela8[[#This Row],[YTD]]/Tabela8[[#Totals],[YTD]]</f>
        <v>3.9557221728615021E-3</v>
      </c>
      <c r="P33" s="184">
        <v>633.42999999999995</v>
      </c>
      <c r="Q33" s="184">
        <v>3587.35</v>
      </c>
      <c r="R33" s="184">
        <v>618.79</v>
      </c>
      <c r="S33" s="184">
        <v>501.6</v>
      </c>
      <c r="T33" s="184">
        <v>471.94</v>
      </c>
      <c r="U33" s="184"/>
      <c r="V33" s="184"/>
      <c r="W33" s="184"/>
      <c r="X33" s="184"/>
      <c r="Y33" s="184"/>
      <c r="Z33" s="184"/>
      <c r="AA33" s="184"/>
      <c r="AC33" s="130" t="s">
        <v>462</v>
      </c>
      <c r="AD33" s="19">
        <f>Tabela4[[#This Row],[Valor]]/Tabela4[[#Totals],[Valor]]</f>
        <v>0.22946497056735046</v>
      </c>
      <c r="AE33" s="5">
        <f t="shared" si="0"/>
        <v>253028.03999999998</v>
      </c>
      <c r="AG33" s="125" t="s">
        <v>479</v>
      </c>
      <c r="AH33" s="186">
        <f>SUMIF(Tabela8[Destino],Tabela10[[#This Row],[Destino]],Tabela8[YTD])</f>
        <v>176017.16</v>
      </c>
      <c r="AI33" s="186">
        <f>Tabela10[[#This Row],[R$]]/4</f>
        <v>44004.29</v>
      </c>
      <c r="AJ33" s="191">
        <f>Tabela10[[#This Row],[R$]]/Tabela10[[#Totals],[R$]]</f>
        <v>0.1197766742098654</v>
      </c>
      <c r="AL33" s="125" t="s">
        <v>481</v>
      </c>
      <c r="AM33" s="187">
        <f>SUMIF(Tabela8[Utilidade],Tabela12[[#This Row],[Utilidade]],Tabela8[YTD])</f>
        <v>235500.68000000005</v>
      </c>
      <c r="AN33" s="186">
        <f>Tabela12[[#This Row],[R$]]/4</f>
        <v>58875.170000000013</v>
      </c>
      <c r="AO33" s="191">
        <f>Tabela12[[#This Row],[R$]]/Tabela12[[#Totals],[R$]]</f>
        <v>0.16025419467375665</v>
      </c>
      <c r="AQ33" s="125"/>
      <c r="AR33" s="127"/>
    </row>
    <row r="34" spans="6:44" ht="15.75" customHeight="1">
      <c r="F34" s="125" t="s">
        <v>242</v>
      </c>
      <c r="G34" s="125" t="s">
        <v>213</v>
      </c>
      <c r="H34" s="125" t="s">
        <v>657</v>
      </c>
      <c r="I34" s="125" t="s">
        <v>136</v>
      </c>
      <c r="J34" s="125" t="s">
        <v>495</v>
      </c>
      <c r="K34" s="125" t="s">
        <v>495</v>
      </c>
      <c r="M34" s="187">
        <f>AVERAGE(Tabela8[[#This Row],[jan./26]:[dez/26]])</f>
        <v>1111.0279999999998</v>
      </c>
      <c r="N34" s="128">
        <f>SUM(Tabela8[[#This Row],[jan./26]:[dez/26]])</f>
        <v>5555.1399999999994</v>
      </c>
      <c r="O34" s="19">
        <f>Tabela8[[#This Row],[YTD]]/Tabela8[[#Totals],[YTD]]</f>
        <v>3.78017798929486E-3</v>
      </c>
      <c r="P34" s="184">
        <v>2433.5700000000002</v>
      </c>
      <c r="Q34" s="184">
        <v>661.05</v>
      </c>
      <c r="R34" s="184">
        <v>642.94000000000005</v>
      </c>
      <c r="S34" s="184">
        <v>1220.3</v>
      </c>
      <c r="T34" s="184">
        <v>597.28</v>
      </c>
      <c r="U34" s="184"/>
      <c r="V34" s="184"/>
      <c r="W34" s="184"/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0.45922860249554048</v>
      </c>
      <c r="AE34" s="5">
        <f t="shared" si="0"/>
        <v>506385.41000000003</v>
      </c>
      <c r="AG34" s="125" t="s">
        <v>150</v>
      </c>
      <c r="AH34" s="186">
        <f>SUBTOTAL(109,Tabela10[R$])</f>
        <v>1469544.56</v>
      </c>
      <c r="AI34" s="186">
        <f>SUBTOTAL(109,Tabela10[Coluna1])</f>
        <v>367386.14</v>
      </c>
      <c r="AJ34" s="191"/>
      <c r="AL34" s="125" t="s">
        <v>150</v>
      </c>
      <c r="AM34" s="187">
        <f>SUBTOTAL(109,Tabela12[R$])</f>
        <v>1469544.56</v>
      </c>
      <c r="AN34" s="192">
        <f>SUBTOTAL(109,Tabela12[/4])</f>
        <v>367386.14</v>
      </c>
      <c r="AO34" s="193"/>
      <c r="AQ34" s="125"/>
      <c r="AR34" s="127"/>
    </row>
    <row r="35" spans="6:44" ht="15.75" customHeight="1">
      <c r="F35" s="125" t="s">
        <v>242</v>
      </c>
      <c r="G35" s="125" t="s">
        <v>213</v>
      </c>
      <c r="H35" s="125" t="s">
        <v>658</v>
      </c>
      <c r="I35" s="125" t="s">
        <v>138</v>
      </c>
      <c r="J35" s="125" t="s">
        <v>495</v>
      </c>
      <c r="K35" s="125" t="s">
        <v>495</v>
      </c>
      <c r="M35" s="187">
        <f>AVERAGE(Tabela8[[#This Row],[jan./26]:[dez/26]])</f>
        <v>971.99</v>
      </c>
      <c r="N35" s="128">
        <f>SUM(Tabela8[[#This Row],[jan./26]:[dez/26]])</f>
        <v>4859.95</v>
      </c>
      <c r="O35" s="19">
        <f>Tabela8[[#This Row],[YTD]]/Tabela8[[#Totals],[YTD]]</f>
        <v>3.3071130554897911E-3</v>
      </c>
      <c r="P35" s="184">
        <v>899.43</v>
      </c>
      <c r="Q35" s="184">
        <v>451.71</v>
      </c>
      <c r="R35" s="184">
        <v>1327.5</v>
      </c>
      <c r="S35" s="184">
        <v>1261.9100000000001</v>
      </c>
      <c r="T35" s="184">
        <v>919.4</v>
      </c>
      <c r="U35" s="184"/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1102687</v>
      </c>
    </row>
    <row r="36" spans="6:44" ht="15.75" customHeight="1">
      <c r="F36" s="125" t="s">
        <v>242</v>
      </c>
      <c r="G36" s="125" t="s">
        <v>213</v>
      </c>
      <c r="H36" s="125" t="s">
        <v>659</v>
      </c>
      <c r="I36" s="125" t="s">
        <v>232</v>
      </c>
      <c r="J36" s="125" t="s">
        <v>495</v>
      </c>
      <c r="K36" s="125" t="s">
        <v>495</v>
      </c>
      <c r="M36" s="187">
        <f>AVERAGE(Tabela8[[#This Row],[jan./26]:[dez/26]])</f>
        <v>549.91599999999994</v>
      </c>
      <c r="N36" s="128">
        <f>SUM(Tabela8[[#This Row],[jan./26]:[dez/26]])</f>
        <v>2749.58</v>
      </c>
      <c r="O36" s="19">
        <f>Tabela8[[#This Row],[YTD]]/Tabela8[[#Totals],[YTD]]</f>
        <v>1.8710422772073004E-3</v>
      </c>
      <c r="P36" s="184">
        <v>759.08</v>
      </c>
      <c r="Q36" s="184">
        <v>536.25</v>
      </c>
      <c r="R36" s="184">
        <v>249.68</v>
      </c>
      <c r="S36" s="184">
        <v>149.22999999999999</v>
      </c>
      <c r="T36" s="184">
        <v>1055.3399999999999</v>
      </c>
      <c r="U36" s="184"/>
      <c r="V36" s="184"/>
      <c r="W36" s="184"/>
      <c r="X36" s="184"/>
      <c r="Y36" s="184"/>
      <c r="Z36" s="184"/>
      <c r="AA36" s="184"/>
    </row>
    <row r="37" spans="6:44" ht="15.75" customHeight="1">
      <c r="F37" s="125" t="s">
        <v>242</v>
      </c>
      <c r="G37" s="125" t="s">
        <v>213</v>
      </c>
      <c r="H37" s="125" t="s">
        <v>660</v>
      </c>
      <c r="I37" s="125" t="s">
        <v>134</v>
      </c>
      <c r="J37" s="125" t="s">
        <v>495</v>
      </c>
      <c r="K37" s="125" t="s">
        <v>495</v>
      </c>
      <c r="M37" s="187">
        <f>AVERAGE(Tabela8[[#This Row],[jan./26]:[dez/26]])</f>
        <v>143.54499999999999</v>
      </c>
      <c r="N37" s="128">
        <f>SUM(Tabela8[[#This Row],[jan./26]:[dez/26]])</f>
        <v>574.17999999999995</v>
      </c>
      <c r="O37" s="19">
        <f>Tabela8[[#This Row],[YTD]]/Tabela8[[#Totals],[YTD]]</f>
        <v>3.9071969345386848E-4</v>
      </c>
      <c r="P37" s="184">
        <v>574.17999999999995</v>
      </c>
      <c r="Q37" s="184">
        <v>0</v>
      </c>
      <c r="R37" s="184">
        <v>0</v>
      </c>
      <c r="S37" s="184">
        <v>0</v>
      </c>
      <c r="T37" s="184"/>
      <c r="U37" s="184"/>
      <c r="V37" s="184"/>
      <c r="W37" s="184"/>
      <c r="X37" s="184"/>
      <c r="Y37" s="184"/>
      <c r="Z37" s="184"/>
      <c r="AA37" s="184"/>
    </row>
    <row r="38" spans="6:44" ht="15.75" customHeight="1">
      <c r="F38" s="125" t="s">
        <v>242</v>
      </c>
      <c r="G38" s="125" t="s">
        <v>213</v>
      </c>
      <c r="H38" s="125" t="s">
        <v>449</v>
      </c>
      <c r="I38" s="125" t="s">
        <v>140</v>
      </c>
      <c r="J38" s="125" t="s">
        <v>495</v>
      </c>
      <c r="K38" s="125" t="s">
        <v>495</v>
      </c>
      <c r="M38" s="187">
        <f>AVERAGE(Tabela8[[#This Row],[jan./26]:[dez/26]])</f>
        <v>67.111999999999995</v>
      </c>
      <c r="N38" s="128">
        <f>SUM(Tabela8[[#This Row],[jan./26]:[dez/26]])</f>
        <v>335.56</v>
      </c>
      <c r="O38" s="19">
        <f>Tabela8[[#This Row],[YTD]]/Tabela8[[#Totals],[YTD]]</f>
        <v>2.2834285474133568E-4</v>
      </c>
      <c r="P38" s="184">
        <v>99.46</v>
      </c>
      <c r="Q38" s="184">
        <v>167.99</v>
      </c>
      <c r="R38" s="184">
        <v>11.67</v>
      </c>
      <c r="S38" s="184">
        <v>11.67</v>
      </c>
      <c r="T38" s="184">
        <v>44.77</v>
      </c>
      <c r="U38" s="184"/>
      <c r="V38" s="184"/>
      <c r="W38" s="184"/>
      <c r="X38" s="184"/>
      <c r="Y38" s="184"/>
      <c r="Z38" s="184"/>
      <c r="AA38" s="184"/>
      <c r="AC38" s="189" t="s">
        <v>447</v>
      </c>
      <c r="AD38" s="189" t="s">
        <v>150</v>
      </c>
    </row>
    <row r="39" spans="6:44" ht="15.75" customHeight="1">
      <c r="F39" s="125" t="s">
        <v>448</v>
      </c>
      <c r="G39" s="125" t="s">
        <v>213</v>
      </c>
      <c r="H39" s="125" t="s">
        <v>302</v>
      </c>
      <c r="I39" s="125" t="s">
        <v>135</v>
      </c>
      <c r="J39" s="125" t="s">
        <v>495</v>
      </c>
      <c r="K39" s="125" t="s">
        <v>495</v>
      </c>
      <c r="M39" s="187">
        <f>AVERAGE(Tabela8[[#This Row],[jan./26]:[dez/26]])</f>
        <v>23720.642</v>
      </c>
      <c r="N39" s="128">
        <f>SUM(Tabela8[[#This Row],[jan./26]:[dez/26]])</f>
        <v>118603.20999999999</v>
      </c>
      <c r="O39" s="19">
        <f>Tabela8[[#This Row],[YTD]]/Tabela8[[#Totals],[YTD]]</f>
        <v>8.070746082037826E-2</v>
      </c>
      <c r="P39" s="184">
        <v>21632.2</v>
      </c>
      <c r="Q39" s="184">
        <v>21927.62</v>
      </c>
      <c r="R39" s="184">
        <v>25996.57</v>
      </c>
      <c r="S39" s="184">
        <v>24328.67</v>
      </c>
      <c r="T39" s="184">
        <v>24718.15</v>
      </c>
      <c r="U39" s="184"/>
      <c r="V39" s="184"/>
      <c r="W39" s="184"/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191541.47999999998</v>
      </c>
    </row>
    <row r="40" spans="6:44" ht="15.75" customHeight="1">
      <c r="F40" s="125" t="s">
        <v>448</v>
      </c>
      <c r="G40" s="125" t="s">
        <v>213</v>
      </c>
      <c r="H40" s="125" t="s">
        <v>307</v>
      </c>
      <c r="I40" s="125" t="s">
        <v>151</v>
      </c>
      <c r="J40" s="125" t="s">
        <v>495</v>
      </c>
      <c r="K40" s="125" t="s">
        <v>495</v>
      </c>
      <c r="M40" s="187">
        <f>AVERAGE(Tabela8[[#This Row],[jan./26]:[dez/26]])</f>
        <v>15392.755999999999</v>
      </c>
      <c r="N40" s="128">
        <f>SUM(Tabela8[[#This Row],[jan./26]:[dez/26]])</f>
        <v>76963.78</v>
      </c>
      <c r="O40" s="19">
        <f>Tabela8[[#This Row],[YTD]]/Tabela8[[#Totals],[YTD]]</f>
        <v>5.2372539149136116E-2</v>
      </c>
      <c r="P40" s="184">
        <v>15538.48</v>
      </c>
      <c r="Q40" s="184">
        <v>17683.57</v>
      </c>
      <c r="R40" s="184">
        <v>13426.48</v>
      </c>
      <c r="S40" s="184">
        <v>13992.28</v>
      </c>
      <c r="T40" s="184">
        <v>16322.97</v>
      </c>
      <c r="U40" s="184"/>
      <c r="V40" s="184"/>
      <c r="W40" s="184"/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82776.89</v>
      </c>
    </row>
    <row r="41" spans="6:44" ht="15.75" customHeight="1">
      <c r="F41" s="125" t="s">
        <v>448</v>
      </c>
      <c r="G41" s="125" t="s">
        <v>213</v>
      </c>
      <c r="H41" s="125" t="s">
        <v>303</v>
      </c>
      <c r="I41" s="125" t="s">
        <v>134</v>
      </c>
      <c r="J41" s="125" t="s">
        <v>495</v>
      </c>
      <c r="K41" s="125" t="s">
        <v>495</v>
      </c>
      <c r="M41" s="187">
        <f>AVERAGE(Tabela8[[#This Row],[jan./26]:[dez/26]])</f>
        <v>15148.789999999999</v>
      </c>
      <c r="N41" s="128">
        <f>SUM(Tabela8[[#This Row],[jan./26]:[dez/26]])</f>
        <v>75743.95</v>
      </c>
      <c r="O41" s="19">
        <f>Tabela8[[#This Row],[YTD]]/Tabela8[[#Totals],[YTD]]</f>
        <v>5.1542465646635449E-2</v>
      </c>
      <c r="P41" s="184">
        <v>15044.78</v>
      </c>
      <c r="Q41" s="184">
        <v>15000</v>
      </c>
      <c r="R41" s="184">
        <v>15183.32</v>
      </c>
      <c r="S41" s="184">
        <v>15183.05</v>
      </c>
      <c r="T41" s="184">
        <v>15332.8</v>
      </c>
      <c r="U41" s="184"/>
      <c r="V41" s="184"/>
      <c r="W41" s="184"/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76318.12999999999</v>
      </c>
    </row>
    <row r="42" spans="6:44" ht="15.75" customHeight="1">
      <c r="F42" s="125" t="s">
        <v>448</v>
      </c>
      <c r="G42" s="125" t="s">
        <v>213</v>
      </c>
      <c r="H42" s="125" t="s">
        <v>305</v>
      </c>
      <c r="I42" s="125" t="s">
        <v>136</v>
      </c>
      <c r="J42" s="125" t="s">
        <v>495</v>
      </c>
      <c r="K42" s="125" t="s">
        <v>495</v>
      </c>
      <c r="M42" s="187">
        <f>AVERAGE(Tabela8[[#This Row],[jan./26]:[dez/26]])</f>
        <v>13067.852000000001</v>
      </c>
      <c r="N42" s="128">
        <f>SUM(Tabela8[[#This Row],[jan./26]:[dez/26]])</f>
        <v>65339.26</v>
      </c>
      <c r="O42" s="19">
        <f>Tabela8[[#This Row],[YTD]]/Tabela8[[#Totals],[YTD]]</f>
        <v>4.4462251624408047E-2</v>
      </c>
      <c r="P42" s="184">
        <v>11936.26</v>
      </c>
      <c r="Q42" s="184">
        <v>11942.71</v>
      </c>
      <c r="R42" s="184">
        <v>18966.669999999998</v>
      </c>
      <c r="S42" s="184">
        <v>11953.33</v>
      </c>
      <c r="T42" s="184">
        <v>10540.29</v>
      </c>
      <c r="U42" s="184"/>
      <c r="V42" s="184"/>
      <c r="W42" s="184"/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70894.399999999994</v>
      </c>
    </row>
    <row r="43" spans="6:44" ht="15.75" customHeight="1">
      <c r="F43" s="125" t="s">
        <v>448</v>
      </c>
      <c r="G43" s="125" t="s">
        <v>213</v>
      </c>
      <c r="H43" s="125" t="s">
        <v>321</v>
      </c>
      <c r="I43" s="125" t="s">
        <v>138</v>
      </c>
      <c r="J43" s="125" t="s">
        <v>495</v>
      </c>
      <c r="K43" s="125" t="s">
        <v>495</v>
      </c>
      <c r="M43" s="187">
        <f>AVERAGE(Tabela8[[#This Row],[jan./26]:[dez/26]])</f>
        <v>8015.152</v>
      </c>
      <c r="N43" s="128">
        <f>SUM(Tabela8[[#This Row],[jan./26]:[dez/26]])</f>
        <v>40075.760000000002</v>
      </c>
      <c r="O43" s="19">
        <f>Tabela8[[#This Row],[YTD]]/Tabela8[[#Totals],[YTD]]</f>
        <v>2.7270870915271875E-2</v>
      </c>
      <c r="P43" s="184">
        <v>7882.39</v>
      </c>
      <c r="Q43" s="184">
        <v>5562.64</v>
      </c>
      <c r="R43" s="184">
        <v>9052.19</v>
      </c>
      <c r="S43" s="184">
        <v>9870.4</v>
      </c>
      <c r="T43" s="184">
        <v>7708.14</v>
      </c>
      <c r="U43" s="184"/>
      <c r="V43" s="184"/>
      <c r="W43" s="184"/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44935.71</v>
      </c>
    </row>
    <row r="44" spans="6:44" ht="15.75" customHeight="1">
      <c r="F44" s="125" t="s">
        <v>448</v>
      </c>
      <c r="G44" s="125" t="s">
        <v>213</v>
      </c>
      <c r="H44" s="125" t="s">
        <v>314</v>
      </c>
      <c r="I44" s="125" t="s">
        <v>471</v>
      </c>
      <c r="J44" s="125" t="s">
        <v>495</v>
      </c>
      <c r="K44" s="125" t="s">
        <v>495</v>
      </c>
      <c r="M44" s="187">
        <f>AVERAGE(Tabela8[[#This Row],[jan./26]:[dez/26]])</f>
        <v>6670.2080000000005</v>
      </c>
      <c r="N44" s="128">
        <f>SUM(Tabela8[[#This Row],[jan./26]:[dez/26]])</f>
        <v>33351.040000000001</v>
      </c>
      <c r="O44" s="19">
        <f>Tabela8[[#This Row],[YTD]]/Tabela8[[#Totals],[YTD]]</f>
        <v>2.2694813691120742E-2</v>
      </c>
      <c r="P44" s="184">
        <v>5749.27</v>
      </c>
      <c r="Q44" s="184">
        <v>5695.28</v>
      </c>
      <c r="R44" s="184">
        <v>7461.4</v>
      </c>
      <c r="S44" s="184">
        <v>5965.22</v>
      </c>
      <c r="T44" s="184">
        <v>8479.8700000000008</v>
      </c>
      <c r="U44" s="184"/>
      <c r="V44" s="184"/>
      <c r="W44" s="184"/>
      <c r="X44" s="184"/>
      <c r="Y44" s="184"/>
      <c r="Z44" s="184"/>
      <c r="AA44" s="184"/>
      <c r="AC44" s="125" t="s">
        <v>471</v>
      </c>
      <c r="AD44" s="187">
        <f>SUMIF(Tabela8[Destino],Tabela9[[#This Row],[Consultor]],Tabela8[YTD])</f>
        <v>58351.040000000001</v>
      </c>
    </row>
    <row r="45" spans="6:44" ht="15.75" customHeight="1">
      <c r="F45" s="125" t="s">
        <v>448</v>
      </c>
      <c r="G45" s="125" t="s">
        <v>213</v>
      </c>
      <c r="H45" s="125" t="s">
        <v>329</v>
      </c>
      <c r="I45" s="125" t="s">
        <v>232</v>
      </c>
      <c r="J45" s="125" t="s">
        <v>495</v>
      </c>
      <c r="K45" s="125" t="s">
        <v>495</v>
      </c>
      <c r="M45" s="187">
        <f>AVERAGE(Tabela8[[#This Row],[jan./26]:[dez/26]])</f>
        <v>4047.2419999999997</v>
      </c>
      <c r="N45" s="128">
        <f>SUM(Tabela8[[#This Row],[jan./26]:[dez/26]])</f>
        <v>20236.21</v>
      </c>
      <c r="O45" s="19">
        <f>Tabela8[[#This Row],[YTD]]/Tabela8[[#Totals],[YTD]]</f>
        <v>1.3770395638768518E-2</v>
      </c>
      <c r="P45" s="184">
        <v>3903.32</v>
      </c>
      <c r="Q45" s="184">
        <v>4141.68</v>
      </c>
      <c r="R45" s="184">
        <v>3785.34</v>
      </c>
      <c r="S45" s="184">
        <v>4184.38</v>
      </c>
      <c r="T45" s="184">
        <v>4221.49</v>
      </c>
      <c r="U45" s="184"/>
      <c r="V45" s="184"/>
      <c r="W45" s="184"/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32985.79</v>
      </c>
    </row>
    <row r="46" spans="6:44" ht="15.75" customHeight="1">
      <c r="F46" s="125" t="s">
        <v>448</v>
      </c>
      <c r="G46" s="125" t="s">
        <v>213</v>
      </c>
      <c r="H46" s="125" t="s">
        <v>449</v>
      </c>
      <c r="I46" s="125" t="s">
        <v>140</v>
      </c>
      <c r="J46" s="125" t="s">
        <v>495</v>
      </c>
      <c r="K46" s="125" t="s">
        <v>495</v>
      </c>
      <c r="M46" s="187">
        <f>AVERAGE(Tabela8[[#This Row],[jan./26]:[dez/26]])</f>
        <v>1051.69</v>
      </c>
      <c r="N46" s="128">
        <f>SUM(Tabela8[[#This Row],[jan./26]:[dez/26]])</f>
        <v>4206.76</v>
      </c>
      <c r="O46" s="19">
        <f>Tabela8[[#This Row],[YTD]]/Tabela8[[#Totals],[YTD]]</f>
        <v>2.8626284050889896E-3</v>
      </c>
      <c r="P46" s="184">
        <v>2523.87</v>
      </c>
      <c r="Q46" s="184">
        <v>1682.89</v>
      </c>
      <c r="R46" s="184">
        <v>0</v>
      </c>
      <c r="S46" s="184">
        <v>0</v>
      </c>
      <c r="T46" s="184"/>
      <c r="U46" s="184"/>
      <c r="V46" s="184"/>
      <c r="W46" s="184"/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4542.3200000000006</v>
      </c>
      <c r="AE46" s="128"/>
    </row>
    <row r="47" spans="6:44" ht="15.75" customHeight="1">
      <c r="F47" s="125" t="s">
        <v>448</v>
      </c>
      <c r="G47" s="125" t="s">
        <v>213</v>
      </c>
      <c r="H47" s="125" t="s">
        <v>351</v>
      </c>
      <c r="I47" s="125" t="s">
        <v>472</v>
      </c>
      <c r="J47" s="125" t="s">
        <v>495</v>
      </c>
      <c r="K47" s="125" t="s">
        <v>495</v>
      </c>
      <c r="M47" s="187">
        <f>AVERAGE(Tabela8[[#This Row],[jan./26]:[dez/26]])</f>
        <v>306.22000000000003</v>
      </c>
      <c r="N47" s="128">
        <f>SUM(Tabela8[[#This Row],[jan./26]:[dez/26]])</f>
        <v>1531.1000000000001</v>
      </c>
      <c r="O47" s="19">
        <f>Tabela8[[#This Row],[YTD]]/Tabela8[[#Totals],[YTD]]</f>
        <v>1.0418874266732003E-3</v>
      </c>
      <c r="P47" s="184">
        <v>306.22000000000003</v>
      </c>
      <c r="Q47" s="184">
        <v>306.22000000000003</v>
      </c>
      <c r="R47" s="184">
        <v>306.22000000000003</v>
      </c>
      <c r="S47" s="184">
        <v>306.22000000000003</v>
      </c>
      <c r="T47" s="184">
        <v>306.22000000000003</v>
      </c>
      <c r="U47" s="184"/>
      <c r="V47" s="184"/>
      <c r="W47" s="184"/>
      <c r="X47" s="184"/>
      <c r="Y47" s="184"/>
      <c r="Z47" s="184"/>
      <c r="AA47" s="184"/>
      <c r="AC47" s="125" t="s">
        <v>472</v>
      </c>
      <c r="AD47" s="187">
        <f>SUMIF(Tabela8[Destino],Tabela9[[#This Row],[Consultor]],Tabela8[YTD])</f>
        <v>1531.1000000000001</v>
      </c>
      <c r="AE47" s="128"/>
    </row>
    <row r="48" spans="6:44" ht="15.75" customHeight="1">
      <c r="F48" s="125" t="s">
        <v>448</v>
      </c>
      <c r="G48" s="125" t="s">
        <v>213</v>
      </c>
      <c r="H48" s="125" t="s">
        <v>346</v>
      </c>
      <c r="I48" s="125" t="s">
        <v>233</v>
      </c>
      <c r="J48" s="125" t="s">
        <v>495</v>
      </c>
      <c r="K48" s="125" t="s">
        <v>495</v>
      </c>
      <c r="M48" s="187">
        <f>AVERAGE(Tabela8[[#This Row],[jan./26]:[dez/26]])</f>
        <v>101.71</v>
      </c>
      <c r="N48" s="128">
        <f>SUM(Tabela8[[#This Row],[jan./26]:[dez/26]])</f>
        <v>508.54999999999995</v>
      </c>
      <c r="O48" s="19">
        <f>Tabela8[[#This Row],[YTD]]/Tabela8[[#Totals],[YTD]]</f>
        <v>3.4605959822000908E-4</v>
      </c>
      <c r="P48" s="184">
        <v>101.71</v>
      </c>
      <c r="Q48" s="184">
        <v>101.71</v>
      </c>
      <c r="R48" s="184">
        <v>101.71</v>
      </c>
      <c r="S48" s="184">
        <v>101.71</v>
      </c>
      <c r="T48" s="184">
        <v>101.71</v>
      </c>
      <c r="U48" s="184"/>
      <c r="V48" s="184"/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508.54999999999995</v>
      </c>
      <c r="AE48" s="128"/>
    </row>
    <row r="49" spans="6:31" ht="15.75" customHeight="1">
      <c r="F49" s="125" t="s">
        <v>448</v>
      </c>
      <c r="G49" s="125" t="s">
        <v>394</v>
      </c>
      <c r="H49" t="s">
        <v>663</v>
      </c>
      <c r="I49" s="125" t="s">
        <v>471</v>
      </c>
      <c r="J49" s="125" t="s">
        <v>477</v>
      </c>
      <c r="K49" s="125" t="s">
        <v>495</v>
      </c>
      <c r="M49" s="187">
        <f>AVERAGE(Tabela8[[#This Row],[jan./26]:[dez/26]])</f>
        <v>5000</v>
      </c>
      <c r="N49" s="128">
        <f>SUM(Tabela8[[#This Row],[jan./26]:[dez/26]])</f>
        <v>25000</v>
      </c>
      <c r="O49" s="19">
        <f>Tabela8[[#This Row],[YTD]]/Tabela8[[#Totals],[YTD]]</f>
        <v>1.7012073454921301E-2</v>
      </c>
      <c r="P49" s="184">
        <v>5000</v>
      </c>
      <c r="Q49" s="184">
        <v>5000</v>
      </c>
      <c r="R49" s="184">
        <v>5000</v>
      </c>
      <c r="S49" s="184">
        <v>5000</v>
      </c>
      <c r="T49" s="184">
        <v>5000</v>
      </c>
      <c r="U49" s="184"/>
      <c r="V49" s="184"/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564385.41</v>
      </c>
    </row>
    <row r="50" spans="6:31" ht="15.75" customHeight="1">
      <c r="F50" s="125" t="s">
        <v>448</v>
      </c>
      <c r="G50" s="125" t="s">
        <v>394</v>
      </c>
      <c r="H50" t="s">
        <v>662</v>
      </c>
      <c r="I50" s="125" t="s">
        <v>135</v>
      </c>
      <c r="J50" s="125" t="s">
        <v>477</v>
      </c>
      <c r="K50" s="125" t="s">
        <v>495</v>
      </c>
      <c r="M50" s="187">
        <f>AVERAGE(Tabela8[[#This Row],[jan./26]:[dez/26]])</f>
        <v>6000</v>
      </c>
      <c r="N50" s="128">
        <f>SUM(Tabela8[[#This Row],[jan./26]:[dez/26]])</f>
        <v>30000</v>
      </c>
      <c r="O50" s="19">
        <f>Tabela8[[#This Row],[YTD]]/Tabela8[[#Totals],[YTD]]</f>
        <v>2.041448814590556E-2</v>
      </c>
      <c r="P50" s="184">
        <v>5000</v>
      </c>
      <c r="Q50" s="184">
        <v>5000</v>
      </c>
      <c r="R50" s="184">
        <v>5000</v>
      </c>
      <c r="S50" s="184">
        <v>5000</v>
      </c>
      <c r="T50" s="184">
        <v>10000</v>
      </c>
      <c r="U50" s="184"/>
      <c r="V50" s="184"/>
      <c r="W50" s="184"/>
      <c r="X50" s="184"/>
      <c r="Y50" s="184"/>
      <c r="Z50" s="184"/>
      <c r="AA50" s="184"/>
    </row>
    <row r="51" spans="6:31" ht="15.75" customHeight="1">
      <c r="F51" s="125" t="s">
        <v>448</v>
      </c>
      <c r="G51" s="125" t="s">
        <v>394</v>
      </c>
      <c r="H51" t="s">
        <v>664</v>
      </c>
      <c r="I51" s="125" t="s">
        <v>232</v>
      </c>
      <c r="J51" s="125" t="s">
        <v>477</v>
      </c>
      <c r="K51" s="125" t="s">
        <v>495</v>
      </c>
      <c r="M51" s="187">
        <f>AVERAGE(Tabela8[[#This Row],[jan./26]:[dez/26]])</f>
        <v>2000</v>
      </c>
      <c r="N51" s="128">
        <f>SUM(Tabela8[[#This Row],[jan./26]:[dez/26]])</f>
        <v>10000</v>
      </c>
      <c r="O51" s="19">
        <f>Tabela8[[#This Row],[YTD]]/Tabela8[[#Totals],[YTD]]</f>
        <v>6.8048293819685203E-3</v>
      </c>
      <c r="P51" s="184">
        <v>2000</v>
      </c>
      <c r="Q51" s="184">
        <v>2000</v>
      </c>
      <c r="R51" s="184">
        <v>2000</v>
      </c>
      <c r="S51" s="184">
        <v>2000</v>
      </c>
      <c r="T51" s="184">
        <v>2000</v>
      </c>
      <c r="U51" s="184"/>
      <c r="V51" s="184"/>
      <c r="W51" s="184"/>
      <c r="X51" s="184"/>
      <c r="Y51" s="184"/>
      <c r="Z51" s="184"/>
      <c r="AA51" s="184"/>
      <c r="AE51" s="111"/>
    </row>
    <row r="52" spans="6:31" ht="15.75" customHeight="1">
      <c r="F52" s="125" t="s">
        <v>242</v>
      </c>
      <c r="G52" s="125" t="s">
        <v>661</v>
      </c>
      <c r="H52" s="125" t="s">
        <v>365</v>
      </c>
      <c r="I52" s="125" t="s">
        <v>212</v>
      </c>
      <c r="J52" s="125" t="s">
        <v>482</v>
      </c>
      <c r="K52" s="125" t="s">
        <v>489</v>
      </c>
      <c r="M52" s="187">
        <f>AVERAGE(Tabela8[[#This Row],[jan./26]:[dez/26]])</f>
        <v>126</v>
      </c>
      <c r="N52" s="128">
        <f>SUM(Tabela8[[#This Row],[jan./26]:[dez/26]])</f>
        <v>630</v>
      </c>
      <c r="O52" s="19">
        <f>Tabela8[[#This Row],[YTD]]/Tabela8[[#Totals],[YTD]]</f>
        <v>4.2870425106401677E-4</v>
      </c>
      <c r="P52" s="184">
        <v>135</v>
      </c>
      <c r="Q52" s="184">
        <v>135</v>
      </c>
      <c r="R52" s="184">
        <v>120</v>
      </c>
      <c r="S52" s="184">
        <v>120</v>
      </c>
      <c r="T52" s="184">
        <v>120</v>
      </c>
      <c r="U52" s="184"/>
      <c r="V52" s="184"/>
      <c r="W52" s="184"/>
      <c r="X52" s="184"/>
      <c r="Y52" s="184"/>
      <c r="Z52" s="184"/>
      <c r="AA52" s="184"/>
    </row>
    <row r="53" spans="6:31" ht="15.75" customHeight="1">
      <c r="F53" s="125" t="s">
        <v>242</v>
      </c>
      <c r="G53" s="125" t="s">
        <v>308</v>
      </c>
      <c r="H53" s="125" t="s">
        <v>333</v>
      </c>
      <c r="I53" s="125" t="s">
        <v>212</v>
      </c>
      <c r="J53" s="125" t="s">
        <v>482</v>
      </c>
      <c r="K53" s="125" t="s">
        <v>489</v>
      </c>
      <c r="M53" s="187">
        <f>AVERAGE(Tabela8[[#This Row],[jan./26]:[dez/26]])</f>
        <v>300</v>
      </c>
      <c r="N53" s="128">
        <f>SUM(Tabela8[[#This Row],[jan./26]:[dez/26]])</f>
        <v>1200</v>
      </c>
      <c r="O53" s="19">
        <f>Tabela8[[#This Row],[YTD]]/Tabela8[[#Totals],[YTD]]</f>
        <v>8.1657952583622244E-4</v>
      </c>
      <c r="P53" s="184">
        <v>0</v>
      </c>
      <c r="Q53" s="184">
        <v>1200</v>
      </c>
      <c r="R53" s="184">
        <v>0</v>
      </c>
      <c r="S53" s="184">
        <v>0</v>
      </c>
      <c r="T53" s="184"/>
      <c r="U53" s="184"/>
      <c r="V53" s="184"/>
      <c r="W53" s="184"/>
      <c r="X53" s="184"/>
      <c r="Y53" s="184"/>
      <c r="Z53" s="184"/>
      <c r="AA53" s="184"/>
    </row>
    <row r="54" spans="6:31" ht="15.75" customHeight="1">
      <c r="F54" s="125" t="s">
        <v>242</v>
      </c>
      <c r="G54" s="125" t="s">
        <v>308</v>
      </c>
      <c r="H54" s="125" t="s">
        <v>363</v>
      </c>
      <c r="I54" s="125" t="s">
        <v>212</v>
      </c>
      <c r="J54" s="125" t="s">
        <v>480</v>
      </c>
      <c r="K54" s="125" t="s">
        <v>489</v>
      </c>
      <c r="M54" s="187">
        <f>AVERAGE(Tabela8[[#This Row],[jan./26]:[dez/26]])</f>
        <v>20.862500000000001</v>
      </c>
      <c r="N54" s="128">
        <f>SUM(Tabela8[[#This Row],[jan./26]:[dez/26]])</f>
        <v>83.45</v>
      </c>
      <c r="O54" s="19">
        <f>Tabela8[[#This Row],[YTD]]/Tabela8[[#Totals],[YTD]]</f>
        <v>5.6786301192527307E-5</v>
      </c>
      <c r="P54" s="184">
        <v>0</v>
      </c>
      <c r="Q54" s="184">
        <v>0</v>
      </c>
      <c r="R54" s="184">
        <v>63.4</v>
      </c>
      <c r="S54" s="184">
        <v>20.05</v>
      </c>
      <c r="T54" s="184"/>
      <c r="U54" s="184"/>
      <c r="V54" s="184"/>
      <c r="W54" s="184"/>
      <c r="X54" s="184"/>
      <c r="Y54" s="184"/>
      <c r="Z54" s="184"/>
      <c r="AA54" s="184"/>
    </row>
    <row r="55" spans="6:31" ht="15.75" customHeight="1">
      <c r="F55" s="125" t="s">
        <v>448</v>
      </c>
      <c r="G55" s="125" t="s">
        <v>674</v>
      </c>
      <c r="H55" s="125" t="s">
        <v>333</v>
      </c>
      <c r="I55" s="125" t="s">
        <v>212</v>
      </c>
      <c r="J55" s="125" t="s">
        <v>482</v>
      </c>
      <c r="K55" s="125" t="s">
        <v>489</v>
      </c>
      <c r="M55" s="187">
        <f>AVERAGE(Tabela8[[#This Row],[jan./26]:[dez/26]])</f>
        <v>764</v>
      </c>
      <c r="N55" s="128">
        <f>SUM(Tabela8[[#This Row],[jan./26]:[dez/26]])</f>
        <v>3820</v>
      </c>
      <c r="O55" s="19">
        <f>Tabela8[[#This Row],[YTD]]/Tabela8[[#Totals],[YTD]]</f>
        <v>2.5994448239119749E-3</v>
      </c>
      <c r="P55" s="184">
        <v>600</v>
      </c>
      <c r="Q55" s="184">
        <v>240</v>
      </c>
      <c r="R55" s="184">
        <v>1300</v>
      </c>
      <c r="S55" s="184">
        <v>1440</v>
      </c>
      <c r="T55" s="184">
        <v>240</v>
      </c>
      <c r="U55" s="184"/>
      <c r="V55" s="184"/>
      <c r="W55" s="184"/>
      <c r="X55" s="184"/>
      <c r="Y55" s="184"/>
      <c r="Z55" s="184"/>
      <c r="AA55" s="184"/>
    </row>
    <row r="56" spans="6:31" ht="15.75" customHeight="1">
      <c r="F56" s="125" t="s">
        <v>448</v>
      </c>
      <c r="G56" s="125" t="s">
        <v>674</v>
      </c>
      <c r="H56" s="125" t="s">
        <v>457</v>
      </c>
      <c r="I56" s="125" t="s">
        <v>212</v>
      </c>
      <c r="J56" s="125" t="s">
        <v>482</v>
      </c>
      <c r="K56" s="125" t="s">
        <v>489</v>
      </c>
      <c r="M56" s="187">
        <f>AVERAGE(Tabela8[[#This Row],[jan./26]:[dez/26]])</f>
        <v>210.98000000000002</v>
      </c>
      <c r="N56" s="128">
        <f>SUM(Tabela8[[#This Row],[jan./26]:[dez/26]])</f>
        <v>1054.9000000000001</v>
      </c>
      <c r="O56" s="19">
        <f>Tabela8[[#This Row],[YTD]]/Tabela8[[#Totals],[YTD]]</f>
        <v>7.1784145150385924E-4</v>
      </c>
      <c r="P56" s="184">
        <v>0</v>
      </c>
      <c r="Q56" s="184">
        <v>0</v>
      </c>
      <c r="R56" s="184">
        <v>664.9</v>
      </c>
      <c r="S56" s="184">
        <v>195</v>
      </c>
      <c r="T56" s="184">
        <v>195</v>
      </c>
      <c r="U56" s="184"/>
      <c r="V56" s="184"/>
      <c r="W56" s="184"/>
      <c r="X56" s="184"/>
      <c r="Y56" s="184"/>
      <c r="Z56" s="184"/>
      <c r="AA56" s="184"/>
    </row>
    <row r="57" spans="6:31" ht="15.75" customHeight="1">
      <c r="F57" s="125" t="s">
        <v>448</v>
      </c>
      <c r="G57" s="125" t="s">
        <v>0</v>
      </c>
      <c r="H57" s="125" t="s">
        <v>362</v>
      </c>
      <c r="I57" s="125" t="s">
        <v>212</v>
      </c>
      <c r="J57" s="125" t="s">
        <v>482</v>
      </c>
      <c r="K57" s="125" t="s">
        <v>489</v>
      </c>
      <c r="M57" s="187">
        <f>AVERAGE(Tabela8[[#This Row],[jan./26]:[dez/26]])</f>
        <v>407.11399999999998</v>
      </c>
      <c r="N57" s="128">
        <f>SUM(Tabela8[[#This Row],[jan./26]:[dez/26]])</f>
        <v>2035.57</v>
      </c>
      <c r="O57" s="19">
        <f>Tabela8[[#This Row],[YTD]]/Tabela8[[#Totals],[YTD]]</f>
        <v>1.3851706545053662E-3</v>
      </c>
      <c r="P57" s="184">
        <v>113.41</v>
      </c>
      <c r="Q57" s="184">
        <v>112.97</v>
      </c>
      <c r="R57" s="184">
        <v>478.36</v>
      </c>
      <c r="S57" s="184">
        <v>794.31</v>
      </c>
      <c r="T57" s="184">
        <v>536.52</v>
      </c>
      <c r="U57" s="184"/>
      <c r="V57" s="184"/>
      <c r="W57" s="184"/>
      <c r="X57" s="184"/>
      <c r="Y57" s="184"/>
      <c r="Z57" s="184"/>
      <c r="AA57" s="184"/>
    </row>
    <row r="58" spans="6:31" ht="15.75" customHeight="1">
      <c r="F58" s="125" t="s">
        <v>448</v>
      </c>
      <c r="G58" s="125" t="s">
        <v>676</v>
      </c>
      <c r="H58" s="125" t="s">
        <v>335</v>
      </c>
      <c r="I58" s="125" t="s">
        <v>212</v>
      </c>
      <c r="J58" s="125" t="s">
        <v>482</v>
      </c>
      <c r="K58" s="125" t="s">
        <v>489</v>
      </c>
      <c r="M58" s="187">
        <f>AVERAGE(Tabela8[[#This Row],[jan./26]:[dez/26]])</f>
        <v>846.49199999999996</v>
      </c>
      <c r="N58" s="128">
        <f>SUM(Tabela8[[#This Row],[jan./26]:[dez/26]])</f>
        <v>4232.46</v>
      </c>
      <c r="O58" s="19">
        <f>Tabela8[[#This Row],[YTD]]/Tabela8[[#Totals],[YTD]]</f>
        <v>2.8801168166006485E-3</v>
      </c>
      <c r="P58" s="184">
        <v>0</v>
      </c>
      <c r="Q58" s="184">
        <v>1573.45</v>
      </c>
      <c r="R58" s="184">
        <v>1590.23</v>
      </c>
      <c r="S58" s="184">
        <v>748.89</v>
      </c>
      <c r="T58" s="184">
        <v>319.89</v>
      </c>
      <c r="U58" s="184"/>
      <c r="V58" s="184"/>
      <c r="W58" s="184"/>
      <c r="X58" s="184"/>
      <c r="Y58" s="184"/>
      <c r="Z58" s="184"/>
      <c r="AA58" s="184"/>
    </row>
    <row r="59" spans="6:31" ht="15.75" customHeight="1">
      <c r="F59" s="125" t="s">
        <v>448</v>
      </c>
      <c r="G59" s="125" t="s">
        <v>654</v>
      </c>
      <c r="H59" s="125" t="s">
        <v>344</v>
      </c>
      <c r="I59" s="125" t="s">
        <v>211</v>
      </c>
      <c r="J59" s="125" t="s">
        <v>482</v>
      </c>
      <c r="K59" s="125" t="s">
        <v>489</v>
      </c>
      <c r="M59" s="187">
        <f>AVERAGE(Tabela8[[#This Row],[jan./26]:[dez/26]])</f>
        <v>2104.3559999999998</v>
      </c>
      <c r="N59" s="128">
        <f>SUM(Tabela8[[#This Row],[jan./26]:[dez/26]])</f>
        <v>10521.779999999999</v>
      </c>
      <c r="O59" s="19">
        <f>Tabela8[[#This Row],[YTD]]/Tabela8[[#Totals],[YTD]]</f>
        <v>7.1598917694608733E-3</v>
      </c>
      <c r="P59" s="184">
        <v>0</v>
      </c>
      <c r="Q59" s="184">
        <v>1521.78</v>
      </c>
      <c r="R59" s="184">
        <v>3000</v>
      </c>
      <c r="S59" s="184">
        <v>3000</v>
      </c>
      <c r="T59" s="184">
        <v>3000</v>
      </c>
      <c r="U59" s="184"/>
      <c r="V59" s="184"/>
      <c r="W59" s="184"/>
      <c r="X59" s="184"/>
      <c r="Y59" s="184"/>
      <c r="Z59" s="184"/>
      <c r="AA59" s="184"/>
    </row>
    <row r="60" spans="6:31" ht="15.75" customHeight="1">
      <c r="F60" s="125" t="s">
        <v>448</v>
      </c>
      <c r="G60" s="125" t="s">
        <v>661</v>
      </c>
      <c r="H60" s="125" t="s">
        <v>356</v>
      </c>
      <c r="I60" s="125" t="s">
        <v>212</v>
      </c>
      <c r="J60" s="125" t="s">
        <v>477</v>
      </c>
      <c r="K60" s="125" t="s">
        <v>489</v>
      </c>
      <c r="M60" s="187">
        <f>AVERAGE(Tabela8[[#This Row],[jan./26]:[dez/26]])</f>
        <v>280</v>
      </c>
      <c r="N60" s="128">
        <f>SUM(Tabela8[[#This Row],[jan./26]:[dez/26]])</f>
        <v>1400</v>
      </c>
      <c r="O60" s="19">
        <f>Tabela8[[#This Row],[YTD]]/Tabela8[[#Totals],[YTD]]</f>
        <v>9.5267611347559281E-4</v>
      </c>
      <c r="P60" s="184">
        <v>0</v>
      </c>
      <c r="Q60" s="184">
        <v>0</v>
      </c>
      <c r="R60" s="184">
        <v>900</v>
      </c>
      <c r="S60" s="184">
        <v>0</v>
      </c>
      <c r="T60" s="184">
        <v>500</v>
      </c>
      <c r="U60" s="184"/>
      <c r="V60" s="184"/>
      <c r="W60" s="184"/>
      <c r="X60" s="184"/>
      <c r="Y60" s="184"/>
      <c r="Z60" s="184"/>
      <c r="AA60" s="184"/>
    </row>
    <row r="61" spans="6:31" ht="15.75" customHeight="1">
      <c r="F61" s="125" t="s">
        <v>448</v>
      </c>
      <c r="G61" s="125" t="s">
        <v>674</v>
      </c>
      <c r="H61" s="125" t="s">
        <v>325</v>
      </c>
      <c r="I61" s="125" t="s">
        <v>490</v>
      </c>
      <c r="J61" s="125" t="s">
        <v>482</v>
      </c>
      <c r="K61" s="125" t="s">
        <v>489</v>
      </c>
      <c r="M61" s="187">
        <f>AVERAGE(Tabela8[[#This Row],[jan./26]:[dez/26]])</f>
        <v>2067.904</v>
      </c>
      <c r="N61" s="128">
        <f>SUM(Tabela8[[#This Row],[jan./26]:[dez/26]])</f>
        <v>10339.52</v>
      </c>
      <c r="O61" s="19">
        <f>Tabela8[[#This Row],[YTD]]/Tabela8[[#Totals],[YTD]]</f>
        <v>7.0358669491451158E-3</v>
      </c>
      <c r="P61" s="184">
        <v>3023.06</v>
      </c>
      <c r="Q61" s="184">
        <v>1769.37</v>
      </c>
      <c r="R61" s="184">
        <v>3639.46</v>
      </c>
      <c r="S61" s="184">
        <v>1347.44</v>
      </c>
      <c r="T61" s="184">
        <v>560.19000000000005</v>
      </c>
      <c r="U61" s="184"/>
      <c r="V61" s="184"/>
      <c r="W61" s="184"/>
      <c r="X61" s="184"/>
      <c r="Y61" s="184"/>
      <c r="Z61" s="184"/>
      <c r="AA61" s="184"/>
    </row>
    <row r="62" spans="6:31" ht="15.75" customHeight="1">
      <c r="F62" s="125" t="s">
        <v>448</v>
      </c>
      <c r="G62" s="125" t="s">
        <v>674</v>
      </c>
      <c r="H62" s="125" t="s">
        <v>357</v>
      </c>
      <c r="I62" s="125" t="s">
        <v>490</v>
      </c>
      <c r="J62" s="125" t="s">
        <v>480</v>
      </c>
      <c r="K62" s="125" t="s">
        <v>489</v>
      </c>
      <c r="M62" s="187">
        <f>AVERAGE(Tabela8[[#This Row],[jan./26]:[dez/26]])</f>
        <v>34.325000000000003</v>
      </c>
      <c r="N62" s="128">
        <f>SUM(Tabela8[[#This Row],[jan./26]:[dez/26]])</f>
        <v>137.30000000000001</v>
      </c>
      <c r="O62" s="19">
        <f>Tabela8[[#This Row],[YTD]]/Tabela8[[#Totals],[YTD]]</f>
        <v>9.3430307414427795E-5</v>
      </c>
      <c r="P62" s="184">
        <v>0</v>
      </c>
      <c r="Q62" s="184">
        <v>137.30000000000001</v>
      </c>
      <c r="R62" s="184">
        <v>0</v>
      </c>
      <c r="S62" s="184">
        <v>0</v>
      </c>
      <c r="T62" s="184"/>
      <c r="U62" s="184"/>
      <c r="V62" s="184"/>
      <c r="W62" s="184"/>
      <c r="X62" s="184"/>
      <c r="Y62" s="184"/>
      <c r="Z62" s="184"/>
      <c r="AA62" s="184"/>
    </row>
    <row r="63" spans="6:31" ht="15.75" customHeight="1">
      <c r="F63" s="125" t="s">
        <v>448</v>
      </c>
      <c r="G63" s="125" t="s">
        <v>674</v>
      </c>
      <c r="H63" s="125" t="s">
        <v>352</v>
      </c>
      <c r="I63" s="125" t="s">
        <v>490</v>
      </c>
      <c r="J63" s="125" t="s">
        <v>480</v>
      </c>
      <c r="K63" s="125" t="s">
        <v>489</v>
      </c>
      <c r="M63" s="187">
        <f>AVERAGE(Tabela8[[#This Row],[jan./26]:[dez/26]])</f>
        <v>6.72</v>
      </c>
      <c r="N63" s="128">
        <f>SUM(Tabela8[[#This Row],[jan./26]:[dez/26]])</f>
        <v>26.88</v>
      </c>
      <c r="O63" s="19">
        <f>Tabela8[[#This Row],[YTD]]/Tabela8[[#Totals],[YTD]]</f>
        <v>1.8291381378731382E-5</v>
      </c>
      <c r="P63" s="184">
        <v>26.88</v>
      </c>
      <c r="Q63" s="184">
        <v>0</v>
      </c>
      <c r="R63" s="184">
        <v>0</v>
      </c>
      <c r="S63" s="184">
        <v>0</v>
      </c>
      <c r="T63" s="184"/>
      <c r="U63" s="184"/>
      <c r="V63" s="184"/>
      <c r="W63" s="184"/>
      <c r="X63" s="184"/>
      <c r="Y63" s="184"/>
      <c r="Z63" s="184"/>
      <c r="AA63" s="184"/>
    </row>
    <row r="64" spans="6:31" ht="15.75" customHeight="1">
      <c r="F64" s="125" t="s">
        <v>448</v>
      </c>
      <c r="G64" s="125" t="s">
        <v>0</v>
      </c>
      <c r="H64" s="125" t="s">
        <v>317</v>
      </c>
      <c r="I64" s="125" t="s">
        <v>490</v>
      </c>
      <c r="J64" s="125" t="s">
        <v>480</v>
      </c>
      <c r="K64" s="125" t="s">
        <v>489</v>
      </c>
      <c r="M64" s="187">
        <f>AVERAGE(Tabela8[[#This Row],[jan./26]:[dez/26]])</f>
        <v>220</v>
      </c>
      <c r="N64" s="128">
        <f>SUM(Tabela8[[#This Row],[jan./26]:[dez/26]])</f>
        <v>1100</v>
      </c>
      <c r="O64" s="19">
        <f>Tabela8[[#This Row],[YTD]]/Tabela8[[#Totals],[YTD]]</f>
        <v>7.4853123201653726E-4</v>
      </c>
      <c r="P64" s="184">
        <v>0</v>
      </c>
      <c r="Q64" s="184">
        <v>0</v>
      </c>
      <c r="R64" s="184">
        <v>500</v>
      </c>
      <c r="S64" s="184">
        <v>500</v>
      </c>
      <c r="T64" s="184">
        <v>100</v>
      </c>
      <c r="U64" s="184"/>
      <c r="V64" s="184"/>
      <c r="W64" s="184"/>
      <c r="X64" s="184"/>
      <c r="Y64" s="184"/>
      <c r="Z64" s="184"/>
      <c r="AA64" s="184"/>
    </row>
    <row r="65" spans="6:27" ht="15.75" customHeight="1">
      <c r="F65" s="125" t="s">
        <v>242</v>
      </c>
      <c r="G65" s="125" t="s">
        <v>462</v>
      </c>
      <c r="H65" s="125" t="s">
        <v>311</v>
      </c>
      <c r="I65" s="125" t="s">
        <v>214</v>
      </c>
      <c r="J65" s="125" t="s">
        <v>477</v>
      </c>
      <c r="K65" s="125" t="s">
        <v>478</v>
      </c>
      <c r="M65" s="187">
        <f>AVERAGE(Tabela8[[#This Row],[jan./26]:[dez/26]])</f>
        <v>1690.5574999999999</v>
      </c>
      <c r="N65" s="128">
        <f>SUM(Tabela8[[#This Row],[jan./26]:[dez/26]])</f>
        <v>6762.23</v>
      </c>
      <c r="O65" s="19">
        <f>Tabela8[[#This Row],[YTD]]/Tabela8[[#Totals],[YTD]]</f>
        <v>4.6015821391628981E-3</v>
      </c>
      <c r="P65" s="184">
        <v>3479.59</v>
      </c>
      <c r="Q65" s="184">
        <v>0</v>
      </c>
      <c r="R65" s="184">
        <v>0</v>
      </c>
      <c r="S65" s="184">
        <v>3282.64</v>
      </c>
      <c r="T65" s="184"/>
      <c r="U65" s="184"/>
      <c r="V65" s="184"/>
      <c r="W65" s="184"/>
      <c r="X65" s="184"/>
      <c r="Y65" s="184"/>
      <c r="Z65" s="184"/>
      <c r="AA65" s="184"/>
    </row>
    <row r="66" spans="6:27" ht="15.75" customHeight="1">
      <c r="F66" s="125" t="s">
        <v>242</v>
      </c>
      <c r="G66" s="125" t="s">
        <v>462</v>
      </c>
      <c r="H66" s="125" t="s">
        <v>320</v>
      </c>
      <c r="I66" s="125" t="s">
        <v>214</v>
      </c>
      <c r="J66" s="125" t="s">
        <v>477</v>
      </c>
      <c r="K66" s="125" t="s">
        <v>478</v>
      </c>
      <c r="M66" s="187">
        <f>AVERAGE(Tabela8[[#This Row],[jan./26]:[dez/26]])</f>
        <v>1307.0574999999999</v>
      </c>
      <c r="N66" s="128">
        <f>SUM(Tabela8[[#This Row],[jan./26]:[dez/26]])</f>
        <v>5228.2299999999996</v>
      </c>
      <c r="O66" s="19">
        <f>Tabela8[[#This Row],[YTD]]/Tabela8[[#Totals],[YTD]]</f>
        <v>3.5577213119689275E-3</v>
      </c>
      <c r="P66" s="184">
        <v>2575.77</v>
      </c>
      <c r="Q66" s="184">
        <v>0</v>
      </c>
      <c r="R66" s="184">
        <v>0</v>
      </c>
      <c r="S66" s="184">
        <v>2652.46</v>
      </c>
      <c r="T66" s="184"/>
      <c r="U66" s="184"/>
      <c r="V66" s="184"/>
      <c r="W66" s="184"/>
      <c r="X66" s="184"/>
      <c r="Y66" s="184"/>
      <c r="Z66" s="184"/>
      <c r="AA66" s="184"/>
    </row>
    <row r="67" spans="6:27" ht="15.75" customHeight="1">
      <c r="F67" s="125" t="s">
        <v>242</v>
      </c>
      <c r="G67" s="125" t="s">
        <v>462</v>
      </c>
      <c r="H67" s="125" t="s">
        <v>313</v>
      </c>
      <c r="I67" s="125" t="s">
        <v>214</v>
      </c>
      <c r="J67" s="125" t="s">
        <v>477</v>
      </c>
      <c r="K67" s="125" t="s">
        <v>478</v>
      </c>
      <c r="M67" s="187">
        <f>AVERAGE(Tabela8[[#This Row],[jan./26]:[dez/26]])</f>
        <v>491.02200000000005</v>
      </c>
      <c r="N67" s="128">
        <f>SUM(Tabela8[[#This Row],[jan./26]:[dez/26]])</f>
        <v>2455.11</v>
      </c>
      <c r="O67" s="19">
        <f>Tabela8[[#This Row],[YTD]]/Tabela8[[#Totals],[YTD]]</f>
        <v>1.6706604663964736E-3</v>
      </c>
      <c r="P67" s="184">
        <v>374.51</v>
      </c>
      <c r="Q67" s="184">
        <v>285.12</v>
      </c>
      <c r="R67" s="184">
        <v>468.31</v>
      </c>
      <c r="S67" s="184">
        <v>840.98</v>
      </c>
      <c r="T67" s="184">
        <v>486.19</v>
      </c>
      <c r="U67" s="184"/>
      <c r="V67" s="184"/>
      <c r="W67" s="184"/>
      <c r="X67" s="184"/>
      <c r="Y67" s="184"/>
      <c r="Z67" s="184"/>
      <c r="AA67" s="184"/>
    </row>
    <row r="68" spans="6:27" ht="15.75" customHeight="1">
      <c r="F68" s="125" t="s">
        <v>242</v>
      </c>
      <c r="G68" s="125" t="s">
        <v>462</v>
      </c>
      <c r="H68" s="125" t="s">
        <v>312</v>
      </c>
      <c r="I68" s="125" t="s">
        <v>214</v>
      </c>
      <c r="J68" s="125" t="s">
        <v>477</v>
      </c>
      <c r="K68" s="125" t="s">
        <v>478</v>
      </c>
      <c r="M68" s="187">
        <f>AVERAGE(Tabela8[[#This Row],[jan./26]:[dez/26]])</f>
        <v>295.28799999999995</v>
      </c>
      <c r="N68" s="128">
        <f>SUM(Tabela8[[#This Row],[jan./26]:[dez/26]])</f>
        <v>1476.4399999999998</v>
      </c>
      <c r="O68" s="19">
        <f>Tabela8[[#This Row],[YTD]]/Tabela8[[#Totals],[YTD]]</f>
        <v>1.0046922292713601E-3</v>
      </c>
      <c r="P68" s="184">
        <v>224.71</v>
      </c>
      <c r="Q68" s="184">
        <v>171.07</v>
      </c>
      <c r="R68" s="184">
        <v>280.99</v>
      </c>
      <c r="S68" s="184">
        <v>504.59</v>
      </c>
      <c r="T68" s="184">
        <v>295.08</v>
      </c>
      <c r="U68" s="184"/>
      <c r="V68" s="184"/>
      <c r="W68" s="184"/>
      <c r="X68" s="184"/>
      <c r="Y68" s="184"/>
      <c r="Z68" s="184"/>
      <c r="AA68" s="184"/>
    </row>
    <row r="69" spans="6:27" ht="15.75" customHeight="1">
      <c r="F69" s="125" t="s">
        <v>242</v>
      </c>
      <c r="G69" s="125" t="s">
        <v>462</v>
      </c>
      <c r="H69" s="125" t="s">
        <v>334</v>
      </c>
      <c r="I69" s="125" t="s">
        <v>214</v>
      </c>
      <c r="J69" s="125" t="s">
        <v>477</v>
      </c>
      <c r="K69" s="125" t="s">
        <v>478</v>
      </c>
      <c r="M69" s="187">
        <f>AVERAGE(Tabela8[[#This Row],[jan./26]:[dez/26]])</f>
        <v>63.977999999999994</v>
      </c>
      <c r="N69" s="128">
        <f>SUM(Tabela8[[#This Row],[jan./26]:[dez/26]])</f>
        <v>319.89</v>
      </c>
      <c r="O69" s="19">
        <f>Tabela8[[#This Row],[YTD]]/Tabela8[[#Totals],[YTD]]</f>
        <v>2.1767968709979099E-4</v>
      </c>
      <c r="P69" s="184">
        <v>48.69</v>
      </c>
      <c r="Q69" s="184">
        <v>37.06</v>
      </c>
      <c r="R69" s="184">
        <v>60.88</v>
      </c>
      <c r="S69" s="184">
        <v>109.33</v>
      </c>
      <c r="T69" s="184">
        <v>63.93</v>
      </c>
      <c r="U69" s="184"/>
      <c r="V69" s="184"/>
      <c r="W69" s="184"/>
      <c r="X69" s="184"/>
      <c r="Y69" s="184"/>
      <c r="Z69" s="184"/>
      <c r="AA69" s="184"/>
    </row>
    <row r="70" spans="6:27" ht="15.75" customHeight="1">
      <c r="F70" s="125" t="s">
        <v>448</v>
      </c>
      <c r="G70" s="125" t="s">
        <v>462</v>
      </c>
      <c r="H70" s="125" t="s">
        <v>311</v>
      </c>
      <c r="I70" s="125" t="s">
        <v>214</v>
      </c>
      <c r="J70" s="125" t="s">
        <v>477</v>
      </c>
      <c r="K70" s="125" t="s">
        <v>478</v>
      </c>
      <c r="M70" s="187">
        <f>AVERAGE(Tabela8[[#This Row],[jan./26]:[dez/26]])</f>
        <v>22441.59</v>
      </c>
      <c r="N70" s="128">
        <f>SUM(Tabela8[[#This Row],[jan./26]:[dez/26]])</f>
        <v>89766.36</v>
      </c>
      <c r="O70" s="19">
        <f>Tabela8[[#This Row],[YTD]]/Tabela8[[#Totals],[YTD]]</f>
        <v>6.1084476404036372E-2</v>
      </c>
      <c r="P70" s="184">
        <v>46113.85</v>
      </c>
      <c r="Q70" s="184">
        <v>0</v>
      </c>
      <c r="R70" s="184">
        <v>0</v>
      </c>
      <c r="S70" s="184">
        <v>43652.51</v>
      </c>
      <c r="T70" s="184"/>
      <c r="U70" s="184"/>
      <c r="V70" s="184"/>
      <c r="W70" s="184"/>
      <c r="X70" s="184"/>
      <c r="Y70" s="184"/>
      <c r="Z70" s="184"/>
      <c r="AA70" s="184"/>
    </row>
    <row r="71" spans="6:27" ht="15.75" customHeight="1">
      <c r="F71" s="125" t="s">
        <v>448</v>
      </c>
      <c r="G71" s="125" t="s">
        <v>462</v>
      </c>
      <c r="H71" s="125" t="s">
        <v>670</v>
      </c>
      <c r="I71" s="125" t="s">
        <v>214</v>
      </c>
      <c r="J71" s="125" t="s">
        <v>477</v>
      </c>
      <c r="K71" s="125" t="s">
        <v>478</v>
      </c>
      <c r="M71" s="187">
        <f>AVERAGE(Tabela8[[#This Row],[jan./26]:[dez/26]])</f>
        <v>11801.396000000001</v>
      </c>
      <c r="N71" s="128">
        <f>SUM(Tabela8[[#This Row],[jan./26]:[dez/26]])</f>
        <v>59006.98</v>
      </c>
      <c r="O71" s="19">
        <f>Tabela8[[#This Row],[YTD]]/Tabela8[[#Totals],[YTD]]</f>
        <v>4.0153243124522883E-2</v>
      </c>
      <c r="P71" s="184">
        <v>13010.69</v>
      </c>
      <c r="Q71" s="184">
        <v>11339.32</v>
      </c>
      <c r="R71" s="184">
        <v>13477.14</v>
      </c>
      <c r="S71" s="184">
        <v>10014.48</v>
      </c>
      <c r="T71" s="184">
        <v>11165.35</v>
      </c>
      <c r="U71" s="184"/>
      <c r="V71" s="184"/>
      <c r="W71" s="184"/>
      <c r="X71" s="184"/>
      <c r="Y71" s="184"/>
      <c r="Z71" s="184"/>
      <c r="AA71" s="184"/>
    </row>
    <row r="72" spans="6:27" ht="15.75" customHeight="1">
      <c r="F72" s="125" t="s">
        <v>448</v>
      </c>
      <c r="G72" s="125" t="s">
        <v>462</v>
      </c>
      <c r="H72" s="125" t="s">
        <v>320</v>
      </c>
      <c r="I72" s="125" t="s">
        <v>214</v>
      </c>
      <c r="J72" s="125" t="s">
        <v>477</v>
      </c>
      <c r="K72" s="125" t="s">
        <v>478</v>
      </c>
      <c r="M72" s="187">
        <f>AVERAGE(Tabela8[[#This Row],[jan./26]:[dez/26]])</f>
        <v>10549.2575</v>
      </c>
      <c r="N72" s="128">
        <f>SUM(Tabela8[[#This Row],[jan./26]:[dez/26]])</f>
        <v>42197.03</v>
      </c>
      <c r="O72" s="19">
        <f>Tabela8[[#This Row],[YTD]]/Tabela8[[#Totals],[YTD]]</f>
        <v>2.8714358957580711E-2</v>
      </c>
      <c r="P72" s="184">
        <v>22134.44</v>
      </c>
      <c r="Q72" s="184">
        <v>0</v>
      </c>
      <c r="R72" s="184">
        <v>0</v>
      </c>
      <c r="S72" s="184">
        <v>20062.59</v>
      </c>
      <c r="T72" s="184"/>
      <c r="U72" s="184"/>
      <c r="V72" s="184"/>
      <c r="W72" s="184"/>
      <c r="X72" s="184"/>
      <c r="Y72" s="184"/>
      <c r="Z72" s="184"/>
      <c r="AA72" s="184"/>
    </row>
    <row r="73" spans="6:27" ht="15.75" customHeight="1">
      <c r="F73" s="125" t="s">
        <v>448</v>
      </c>
      <c r="G73" s="125" t="s">
        <v>462</v>
      </c>
      <c r="H73" s="125" t="s">
        <v>312</v>
      </c>
      <c r="I73" s="125" t="s">
        <v>214</v>
      </c>
      <c r="J73" s="125" t="s">
        <v>477</v>
      </c>
      <c r="K73" s="125" t="s">
        <v>478</v>
      </c>
      <c r="M73" s="187">
        <f>AVERAGE(Tabela8[[#This Row],[jan./26]:[dez/26]])</f>
        <v>7080.8279999999995</v>
      </c>
      <c r="N73" s="128">
        <f>SUM(Tabela8[[#This Row],[jan./26]:[dez/26]])</f>
        <v>35404.14</v>
      </c>
      <c r="O73" s="19">
        <f>Tabela8[[#This Row],[YTD]]/Tabela8[[#Totals],[YTD]]</f>
        <v>2.4091913211532697E-2</v>
      </c>
      <c r="P73" s="184">
        <v>7806.41</v>
      </c>
      <c r="Q73" s="184">
        <v>6803.59</v>
      </c>
      <c r="R73" s="184">
        <v>8086.27</v>
      </c>
      <c r="S73" s="184">
        <v>6008.67</v>
      </c>
      <c r="T73" s="184">
        <v>6699.2</v>
      </c>
      <c r="U73" s="184"/>
      <c r="V73" s="184"/>
      <c r="W73" s="184"/>
      <c r="X73" s="184"/>
      <c r="Y73" s="184"/>
      <c r="Z73" s="184"/>
      <c r="AA73" s="184"/>
    </row>
    <row r="74" spans="6:27" ht="15.75" customHeight="1">
      <c r="F74" s="125" t="s">
        <v>448</v>
      </c>
      <c r="G74" s="125" t="s">
        <v>462</v>
      </c>
      <c r="H74" s="125" t="s">
        <v>334</v>
      </c>
      <c r="I74" s="125" t="s">
        <v>214</v>
      </c>
      <c r="J74" s="125" t="s">
        <v>477</v>
      </c>
      <c r="K74" s="125" t="s">
        <v>478</v>
      </c>
      <c r="M74" s="187">
        <f>AVERAGE(Tabela8[[#This Row],[jan./26]:[dez/26]])</f>
        <v>1534.1799999999998</v>
      </c>
      <c r="N74" s="128">
        <f>SUM(Tabela8[[#This Row],[jan./26]:[dez/26]])</f>
        <v>7670.9</v>
      </c>
      <c r="O74" s="19">
        <f>Tabela8[[#This Row],[YTD]]/Tabela8[[#Totals],[YTD]]</f>
        <v>5.2199165706142319E-3</v>
      </c>
      <c r="P74" s="184">
        <v>1691.39</v>
      </c>
      <c r="Q74" s="184">
        <v>1474.11</v>
      </c>
      <c r="R74" s="184">
        <v>1752.03</v>
      </c>
      <c r="S74" s="184">
        <v>1301.8800000000001</v>
      </c>
      <c r="T74" s="184">
        <v>1451.49</v>
      </c>
      <c r="U74" s="184"/>
      <c r="V74" s="184"/>
      <c r="W74" s="184"/>
      <c r="X74" s="184"/>
      <c r="Y74" s="184"/>
      <c r="Z74" s="184"/>
      <c r="AA74" s="184"/>
    </row>
    <row r="75" spans="6:27" ht="15.75" customHeight="1">
      <c r="F75" s="125" t="s">
        <v>448</v>
      </c>
      <c r="G75" s="125" t="s">
        <v>462</v>
      </c>
      <c r="H75" t="s">
        <v>671</v>
      </c>
      <c r="I75" s="125" t="s">
        <v>214</v>
      </c>
      <c r="J75" s="125" t="s">
        <v>477</v>
      </c>
      <c r="K75" s="125" t="s">
        <v>478</v>
      </c>
      <c r="M75" s="187">
        <f>AVERAGE(Tabela8[[#This Row],[jan./26]:[dez/26]])</f>
        <v>533.55799999999999</v>
      </c>
      <c r="N75" s="128">
        <f>SUM(Tabela8[[#This Row],[jan./26]:[dez/26]])</f>
        <v>2667.79</v>
      </c>
      <c r="O75" s="19">
        <f>Tabela8[[#This Row],[YTD]]/Tabela8[[#Totals],[YTD]]</f>
        <v>1.8153855776921798E-3</v>
      </c>
      <c r="P75" s="184">
        <v>0</v>
      </c>
      <c r="Q75" s="184">
        <v>0</v>
      </c>
      <c r="R75" s="184">
        <v>0</v>
      </c>
      <c r="S75" s="184">
        <v>1426.2</v>
      </c>
      <c r="T75" s="184">
        <v>1241.5899999999999</v>
      </c>
      <c r="U75" s="184"/>
      <c r="V75" s="184"/>
      <c r="W75" s="184"/>
      <c r="X75" s="184"/>
      <c r="Y75" s="184"/>
      <c r="Z75" s="184"/>
      <c r="AA75" s="184"/>
    </row>
    <row r="76" spans="6:27" ht="15.75" customHeight="1">
      <c r="F76" s="125" t="s">
        <v>448</v>
      </c>
      <c r="G76" s="125" t="s">
        <v>462</v>
      </c>
      <c r="H76" s="125" t="s">
        <v>214</v>
      </c>
      <c r="I76" s="125" t="s">
        <v>214</v>
      </c>
      <c r="J76" s="125" t="s">
        <v>477</v>
      </c>
      <c r="K76" s="125" t="s">
        <v>478</v>
      </c>
      <c r="M76" s="187">
        <f>AVERAGE(Tabela8[[#This Row],[jan./26]:[dez/26]])</f>
        <v>18.234999999999999</v>
      </c>
      <c r="N76" s="128">
        <f>SUM(Tabela8[[#This Row],[jan./26]:[dez/26]])</f>
        <v>72.94</v>
      </c>
      <c r="O76" s="19">
        <f>Tabela8[[#This Row],[YTD]]/Tabela8[[#Totals],[YTD]]</f>
        <v>4.9634425512078385E-5</v>
      </c>
      <c r="P76" s="184">
        <v>3.97</v>
      </c>
      <c r="Q76" s="184">
        <v>7.45</v>
      </c>
      <c r="R76" s="184">
        <v>26.36</v>
      </c>
      <c r="S76" s="184">
        <v>35.159999999999997</v>
      </c>
      <c r="T76" s="184"/>
      <c r="U76" s="184"/>
      <c r="V76" s="184"/>
      <c r="W76" s="184"/>
      <c r="X76" s="184"/>
      <c r="Y76" s="184"/>
      <c r="Z76" s="184"/>
      <c r="AA76" s="184"/>
    </row>
    <row r="77" spans="6:27" ht="15.75" customHeight="1">
      <c r="F77" s="125" t="s">
        <v>448</v>
      </c>
      <c r="G77" s="125" t="s">
        <v>677</v>
      </c>
      <c r="H77" s="125" t="s">
        <v>348</v>
      </c>
      <c r="I77" s="125" t="s">
        <v>212</v>
      </c>
      <c r="J77" s="125" t="s">
        <v>477</v>
      </c>
      <c r="K77" s="125" t="s">
        <v>478</v>
      </c>
      <c r="M77" s="187">
        <f>AVERAGE(Tabela8[[#This Row],[jan./26]:[dez/26]])</f>
        <v>598.09749999999997</v>
      </c>
      <c r="N77" s="128">
        <f>SUM(Tabela8[[#This Row],[jan./26]:[dez/26]])</f>
        <v>2392.39</v>
      </c>
      <c r="O77" s="19">
        <f>Tabela8[[#This Row],[YTD]]/Tabela8[[#Totals],[YTD]]</f>
        <v>1.6279805765127668E-3</v>
      </c>
      <c r="P77" s="184">
        <v>579.79</v>
      </c>
      <c r="Q77" s="184">
        <v>555.49</v>
      </c>
      <c r="R77" s="184">
        <v>585.72</v>
      </c>
      <c r="S77" s="184">
        <v>671.39</v>
      </c>
      <c r="T77" s="184"/>
      <c r="U77" s="184"/>
      <c r="V77" s="184"/>
      <c r="W77" s="184"/>
      <c r="X77" s="184"/>
      <c r="Y77" s="184"/>
      <c r="Z77" s="184"/>
      <c r="AA77" s="184"/>
    </row>
    <row r="78" spans="6:27" ht="15.75" customHeight="1">
      <c r="F78" s="125" t="s">
        <v>448</v>
      </c>
      <c r="G78" s="125" t="s">
        <v>677</v>
      </c>
      <c r="H78" s="125" t="s">
        <v>214</v>
      </c>
      <c r="I78" s="125" t="s">
        <v>214</v>
      </c>
      <c r="J78" s="125" t="s">
        <v>477</v>
      </c>
      <c r="K78" s="125" t="s">
        <v>478</v>
      </c>
      <c r="M78" s="187">
        <f>AVERAGE(Tabela8[[#This Row],[jan./26]:[dez/26]])</f>
        <v>223.41499999999999</v>
      </c>
      <c r="N78" s="128">
        <f>SUM(Tabela8[[#This Row],[jan./26]:[dez/26]])</f>
        <v>893.66</v>
      </c>
      <c r="O78" s="19">
        <f>Tabela8[[#This Row],[YTD]]/Tabela8[[#Totals],[YTD]]</f>
        <v>6.0812038254899874E-4</v>
      </c>
      <c r="P78" s="184">
        <v>893.66</v>
      </c>
      <c r="Q78" s="184">
        <v>0</v>
      </c>
      <c r="R78" s="184">
        <v>0</v>
      </c>
      <c r="S78" s="184">
        <v>0</v>
      </c>
      <c r="T78" s="184"/>
      <c r="U78" s="184"/>
      <c r="V78" s="184"/>
      <c r="W78" s="184"/>
      <c r="X78" s="184"/>
      <c r="Y78" s="184"/>
      <c r="Z78" s="184"/>
      <c r="AA78" s="184"/>
    </row>
    <row r="79" spans="6:27" ht="15.75" customHeight="1">
      <c r="F79" s="125" t="s">
        <v>448</v>
      </c>
      <c r="G79" s="125" t="s">
        <v>677</v>
      </c>
      <c r="H79" s="125" t="s">
        <v>309</v>
      </c>
      <c r="I79" s="125" t="s">
        <v>486</v>
      </c>
      <c r="J79" s="125" t="s">
        <v>482</v>
      </c>
      <c r="K79" s="125" t="s">
        <v>478</v>
      </c>
      <c r="M79" s="187">
        <f>AVERAGE(Tabela8[[#This Row],[jan./26]:[dez/26]])</f>
        <v>9633.0619999999999</v>
      </c>
      <c r="N79" s="128">
        <f>SUM(Tabela8[[#This Row],[jan./26]:[dez/26]])</f>
        <v>48165.31</v>
      </c>
      <c r="O79" s="19">
        <f>Tabela8[[#This Row],[YTD]]/Tabela8[[#Totals],[YTD]]</f>
        <v>3.277567166796222E-2</v>
      </c>
      <c r="P79" s="184">
        <v>10236.57</v>
      </c>
      <c r="Q79" s="184">
        <v>9841.16</v>
      </c>
      <c r="R79" s="184">
        <v>8739.58</v>
      </c>
      <c r="S79" s="184">
        <v>10077.969999999999</v>
      </c>
      <c r="T79" s="184">
        <v>9270.0300000000007</v>
      </c>
      <c r="U79" s="184"/>
      <c r="V79" s="184"/>
      <c r="W79" s="184"/>
      <c r="X79" s="184"/>
      <c r="Y79" s="184"/>
      <c r="Z79" s="184"/>
      <c r="AA79" s="184"/>
    </row>
    <row r="80" spans="6:27" ht="15.75" customHeight="1">
      <c r="F80" s="125" t="s">
        <v>448</v>
      </c>
      <c r="G80" s="125" t="s">
        <v>682</v>
      </c>
      <c r="H80" t="s">
        <v>679</v>
      </c>
      <c r="I80" s="125" t="s">
        <v>212</v>
      </c>
      <c r="J80" s="125" t="s">
        <v>482</v>
      </c>
      <c r="K80" s="125" t="s">
        <v>478</v>
      </c>
      <c r="M80" s="187">
        <f>AVERAGE(Tabela8[[#This Row],[jan./26]:[dez/26]])</f>
        <v>3180</v>
      </c>
      <c r="N80" s="128">
        <f>SUM(Tabela8[[#This Row],[jan./26]:[dez/26]])</f>
        <v>3180</v>
      </c>
      <c r="O80" s="19"/>
      <c r="P80" s="184"/>
      <c r="Q80" s="184"/>
      <c r="R80" s="184"/>
      <c r="S80" s="184"/>
      <c r="T80" s="184">
        <v>3180</v>
      </c>
      <c r="U80" s="184"/>
      <c r="V80" s="184"/>
      <c r="W80" s="184"/>
      <c r="X80" s="184"/>
      <c r="Y80" s="184"/>
      <c r="Z80" s="184"/>
      <c r="AA80" s="184"/>
    </row>
    <row r="81" spans="6:27" ht="15.75" customHeight="1">
      <c r="F81" s="125" t="s">
        <v>448</v>
      </c>
      <c r="G81" s="125" t="s">
        <v>682</v>
      </c>
      <c r="H81" t="s">
        <v>680</v>
      </c>
      <c r="I81" s="125" t="s">
        <v>212</v>
      </c>
      <c r="J81" s="125" t="s">
        <v>482</v>
      </c>
      <c r="K81" s="125" t="s">
        <v>478</v>
      </c>
      <c r="M81" s="187">
        <f>AVERAGE(Tabela8[[#This Row],[jan./26]:[dez/26]])</f>
        <v>2538.5</v>
      </c>
      <c r="N81" s="128">
        <f>SUM(Tabela8[[#This Row],[jan./26]:[dez/26]])</f>
        <v>2538.5</v>
      </c>
      <c r="O81" s="19"/>
      <c r="P81" s="184"/>
      <c r="Q81" s="184"/>
      <c r="R81" s="184"/>
      <c r="S81" s="184"/>
      <c r="T81" s="184">
        <v>2538.5</v>
      </c>
      <c r="U81" s="184"/>
      <c r="V81" s="184"/>
      <c r="W81" s="184"/>
      <c r="X81" s="184"/>
      <c r="Y81" s="184"/>
      <c r="Z81" s="184"/>
      <c r="AA81" s="184"/>
    </row>
    <row r="82" spans="6:27" ht="15.75" customHeight="1">
      <c r="F82" s="125" t="s">
        <v>448</v>
      </c>
      <c r="G82" s="125" t="s">
        <v>682</v>
      </c>
      <c r="H82" t="s">
        <v>681</v>
      </c>
      <c r="I82" s="125" t="s">
        <v>212</v>
      </c>
      <c r="J82" s="125" t="s">
        <v>482</v>
      </c>
      <c r="K82" s="125" t="s">
        <v>478</v>
      </c>
      <c r="M82" s="187">
        <f>AVERAGE(Tabela8[[#This Row],[jan./26]:[dez/26]])</f>
        <v>184</v>
      </c>
      <c r="N82" s="128">
        <f>SUM(Tabela8[[#This Row],[jan./26]:[dez/26]])</f>
        <v>184</v>
      </c>
      <c r="O82" s="19"/>
      <c r="P82" s="184"/>
      <c r="Q82" s="184"/>
      <c r="R82" s="184"/>
      <c r="S82" s="184"/>
      <c r="T82" s="184">
        <v>184</v>
      </c>
      <c r="U82" s="184"/>
      <c r="V82" s="184"/>
      <c r="W82" s="184"/>
      <c r="X82" s="184"/>
      <c r="Y82" s="184"/>
      <c r="Z82" s="184"/>
      <c r="AA82" s="184"/>
    </row>
    <row r="83" spans="6:27" ht="15.75" customHeight="1">
      <c r="F83" s="125" t="s">
        <v>448</v>
      </c>
      <c r="G83" s="125" t="s">
        <v>676</v>
      </c>
      <c r="H83" s="125" t="s">
        <v>683</v>
      </c>
      <c r="I83" s="125" t="s">
        <v>212</v>
      </c>
      <c r="J83" s="125" t="s">
        <v>482</v>
      </c>
      <c r="K83" s="125" t="s">
        <v>478</v>
      </c>
      <c r="M83" s="187">
        <f>AVERAGE(Tabela8[[#This Row],[jan./26]:[dez/26]])</f>
        <v>1240.1099999999999</v>
      </c>
      <c r="N83" s="128">
        <f>SUM(Tabela8[[#This Row],[jan./26]:[dez/26]])</f>
        <v>1240.1099999999999</v>
      </c>
      <c r="O83" s="19"/>
      <c r="P83" s="184"/>
      <c r="Q83" s="184"/>
      <c r="R83" s="184"/>
      <c r="S83" s="184"/>
      <c r="T83" s="184">
        <v>1240.1099999999999</v>
      </c>
      <c r="U83" s="184"/>
      <c r="V83" s="184"/>
      <c r="W83" s="184"/>
      <c r="X83" s="184"/>
      <c r="Y83" s="184"/>
      <c r="Z83" s="184"/>
      <c r="AA83" s="184"/>
    </row>
    <row r="84" spans="6:27" ht="15.75" customHeight="1">
      <c r="F84" s="125" t="s">
        <v>242</v>
      </c>
      <c r="G84" s="125" t="s">
        <v>306</v>
      </c>
      <c r="H84" s="125" t="s">
        <v>339</v>
      </c>
      <c r="I84" s="125" t="s">
        <v>212</v>
      </c>
      <c r="J84" s="125" t="s">
        <v>477</v>
      </c>
      <c r="K84" s="125" t="s">
        <v>483</v>
      </c>
      <c r="M84" s="187">
        <f>AVERAGE(Tabela8[[#This Row],[jan./26]:[dez/26]])</f>
        <v>568.39</v>
      </c>
      <c r="N84" s="128">
        <f>SUM(Tabela8[[#This Row],[jan./26]:[dez/26]])</f>
        <v>2841.95</v>
      </c>
      <c r="O84" s="19">
        <f>Tabela8[[#This Row],[YTD]]/Tabela8[[#Totals],[YTD]]</f>
        <v>1.9338984862085436E-3</v>
      </c>
      <c r="P84" s="184">
        <v>632.21</v>
      </c>
      <c r="Q84" s="184">
        <v>361.33</v>
      </c>
      <c r="R84" s="184">
        <v>457.73</v>
      </c>
      <c r="S84" s="184">
        <v>766.02</v>
      </c>
      <c r="T84" s="184">
        <v>624.66</v>
      </c>
      <c r="U84" s="184"/>
      <c r="V84" s="184"/>
      <c r="W84" s="184"/>
      <c r="X84" s="184"/>
      <c r="Y84" s="184"/>
      <c r="Z84" s="184"/>
      <c r="AA84" s="184"/>
    </row>
    <row r="85" spans="6:27" ht="15.75" customHeight="1">
      <c r="F85" s="125" t="s">
        <v>448</v>
      </c>
      <c r="G85" s="125" t="s">
        <v>394</v>
      </c>
      <c r="H85" t="s">
        <v>669</v>
      </c>
      <c r="I85" s="125" t="s">
        <v>446</v>
      </c>
      <c r="J85" s="125" t="s">
        <v>482</v>
      </c>
      <c r="K85" s="125" t="s">
        <v>483</v>
      </c>
      <c r="M85" s="187">
        <f>AVERAGE(Tabela8[[#This Row],[jan./26]:[dez/26]])</f>
        <v>7100</v>
      </c>
      <c r="N85" s="128">
        <f>SUM(Tabela8[[#This Row],[jan./26]:[dez/26]])</f>
        <v>35500</v>
      </c>
      <c r="O85" s="19">
        <f>Tabela8[[#This Row],[YTD]]/Tabela8[[#Totals],[YTD]]</f>
        <v>2.4157144305988247E-2</v>
      </c>
      <c r="P85" s="184">
        <v>7100</v>
      </c>
      <c r="Q85" s="184">
        <v>7100</v>
      </c>
      <c r="R85" s="184">
        <v>7100</v>
      </c>
      <c r="S85" s="184">
        <v>7100</v>
      </c>
      <c r="T85" s="184">
        <v>7100</v>
      </c>
      <c r="U85" s="184"/>
      <c r="V85" s="184"/>
      <c r="W85" s="184"/>
      <c r="X85" s="184"/>
      <c r="Y85" s="184"/>
      <c r="Z85" s="184"/>
      <c r="AA85" s="184"/>
    </row>
    <row r="86" spans="6:27" ht="15.75" customHeight="1">
      <c r="F86" s="125" t="s">
        <v>448</v>
      </c>
      <c r="G86" s="125" t="s">
        <v>394</v>
      </c>
      <c r="H86" t="s">
        <v>666</v>
      </c>
      <c r="I86" s="125" t="s">
        <v>446</v>
      </c>
      <c r="J86" s="125" t="s">
        <v>482</v>
      </c>
      <c r="K86" s="125" t="s">
        <v>483</v>
      </c>
      <c r="M86" s="187">
        <f>AVERAGE(Tabela8[[#This Row],[jan./26]:[dez/26]])</f>
        <v>3709.5639999999999</v>
      </c>
      <c r="N86" s="128">
        <f>SUM(Tabela8[[#This Row],[jan./26]:[dez/26]])</f>
        <v>18547.82</v>
      </c>
      <c r="O86" s="19">
        <f>Tabela8[[#This Row],[YTD]]/Tabela8[[#Totals],[YTD]]</f>
        <v>1.2621475050746336E-2</v>
      </c>
      <c r="P86" s="184">
        <v>0</v>
      </c>
      <c r="Q86" s="184">
        <v>0</v>
      </c>
      <c r="R86" s="184">
        <v>4878</v>
      </c>
      <c r="S86" s="184">
        <v>1718.3</v>
      </c>
      <c r="T86" s="184">
        <v>11951.52</v>
      </c>
      <c r="U86" s="184"/>
      <c r="V86" s="184"/>
      <c r="W86" s="184"/>
      <c r="X86" s="184"/>
      <c r="Y86" s="184"/>
      <c r="Z86" s="184"/>
      <c r="AA86" s="184"/>
    </row>
    <row r="87" spans="6:27" ht="15.75" customHeight="1">
      <c r="F87" s="125" t="s">
        <v>448</v>
      </c>
      <c r="G87" s="125" t="s">
        <v>394</v>
      </c>
      <c r="H87" t="s">
        <v>667</v>
      </c>
      <c r="I87" s="125" t="s">
        <v>446</v>
      </c>
      <c r="J87" s="125" t="s">
        <v>482</v>
      </c>
      <c r="K87" s="125" t="s">
        <v>483</v>
      </c>
      <c r="M87" s="187">
        <f>AVERAGE(Tabela8[[#This Row],[jan./26]:[dez/26]])</f>
        <v>1119.3420000000001</v>
      </c>
      <c r="N87" s="128">
        <f>SUM(Tabela8[[#This Row],[jan./26]:[dez/26]])</f>
        <v>5596.71</v>
      </c>
      <c r="O87" s="19">
        <f>Tabela8[[#This Row],[YTD]]/Tabela8[[#Totals],[YTD]]</f>
        <v>3.8084656650357036E-3</v>
      </c>
      <c r="P87" s="184">
        <v>1307.22</v>
      </c>
      <c r="Q87" s="184">
        <v>0</v>
      </c>
      <c r="R87" s="184">
        <v>1421</v>
      </c>
      <c r="S87" s="184">
        <v>2702.7</v>
      </c>
      <c r="T87" s="184">
        <v>165.79</v>
      </c>
      <c r="U87" s="184"/>
      <c r="V87" s="184"/>
      <c r="W87" s="184"/>
      <c r="X87" s="184"/>
      <c r="Y87" s="184"/>
      <c r="Z87" s="184"/>
      <c r="AA87" s="184"/>
    </row>
    <row r="88" spans="6:27" ht="15.75" customHeight="1">
      <c r="F88" s="125" t="s">
        <v>448</v>
      </c>
      <c r="G88" s="125" t="s">
        <v>394</v>
      </c>
      <c r="H88" t="s">
        <v>665</v>
      </c>
      <c r="I88" s="125" t="s">
        <v>446</v>
      </c>
      <c r="J88" s="125" t="s">
        <v>482</v>
      </c>
      <c r="K88" s="125" t="s">
        <v>483</v>
      </c>
      <c r="M88" s="187">
        <f>AVERAGE(Tabela8[[#This Row],[jan./26]:[dez/26]])</f>
        <v>728.62599999999998</v>
      </c>
      <c r="N88" s="128">
        <f>SUM(Tabela8[[#This Row],[jan./26]:[dez/26]])</f>
        <v>3643.13</v>
      </c>
      <c r="O88" s="19">
        <f>Tabela8[[#This Row],[YTD]]/Tabela8[[#Totals],[YTD]]</f>
        <v>2.4790878066330976E-3</v>
      </c>
      <c r="P88" s="184">
        <v>401.62</v>
      </c>
      <c r="Q88" s="184">
        <v>0</v>
      </c>
      <c r="R88" s="184">
        <v>585.9</v>
      </c>
      <c r="S88" s="184">
        <v>1421.28</v>
      </c>
      <c r="T88" s="184">
        <v>1234.33</v>
      </c>
      <c r="U88" s="184"/>
      <c r="V88" s="184"/>
      <c r="W88" s="184"/>
      <c r="X88" s="184"/>
      <c r="Y88" s="184"/>
      <c r="Z88" s="184"/>
      <c r="AA88" s="184"/>
    </row>
    <row r="89" spans="6:27" ht="15.75" customHeight="1">
      <c r="F89" s="125" t="s">
        <v>448</v>
      </c>
      <c r="G89" s="125" t="s">
        <v>394</v>
      </c>
      <c r="H89" t="s">
        <v>668</v>
      </c>
      <c r="I89" s="125" t="s">
        <v>446</v>
      </c>
      <c r="J89" s="125" t="s">
        <v>482</v>
      </c>
      <c r="K89" s="125" t="s">
        <v>483</v>
      </c>
      <c r="M89" s="187">
        <f>AVERAGE(Tabela8[[#This Row],[jan./26]:[dez/26]])</f>
        <v>346.50599999999997</v>
      </c>
      <c r="N89" s="128">
        <f>SUM(Tabela8[[#This Row],[jan./26]:[dez/26]])</f>
        <v>1732.53</v>
      </c>
      <c r="O89" s="19">
        <f>Tabela8[[#This Row],[YTD]]/Tabela8[[#Totals],[YTD]]</f>
        <v>1.1789571049141921E-3</v>
      </c>
      <c r="P89" s="184">
        <v>559.04</v>
      </c>
      <c r="Q89" s="184">
        <v>0</v>
      </c>
      <c r="R89" s="184">
        <v>250.33</v>
      </c>
      <c r="S89" s="184">
        <v>639.34</v>
      </c>
      <c r="T89" s="184">
        <v>283.82</v>
      </c>
      <c r="U89" s="184"/>
      <c r="V89" s="184"/>
      <c r="W89" s="184"/>
      <c r="X89" s="184"/>
      <c r="Y89" s="184"/>
      <c r="Z89" s="184"/>
      <c r="AA89" s="184"/>
    </row>
    <row r="90" spans="6:27" ht="15.75" customHeight="1">
      <c r="F90" s="125" t="s">
        <v>448</v>
      </c>
      <c r="G90" s="125" t="s">
        <v>568</v>
      </c>
      <c r="H90" s="125" t="s">
        <v>451</v>
      </c>
      <c r="I90" s="125" t="s">
        <v>211</v>
      </c>
      <c r="J90" s="125" t="s">
        <v>477</v>
      </c>
      <c r="K90" s="125" t="s">
        <v>483</v>
      </c>
      <c r="M90" s="187">
        <f>AVERAGE(Tabela8[[#This Row],[jan./26]:[dez/26]])</f>
        <v>3050.2200000000003</v>
      </c>
      <c r="N90" s="128">
        <f>SUM(Tabela8[[#This Row],[jan./26]:[dez/26]])</f>
        <v>15251.100000000002</v>
      </c>
      <c r="O90" s="19">
        <f>Tabela8[[#This Row],[YTD]]/Tabela8[[#Totals],[YTD]]</f>
        <v>1.0378113338734011E-2</v>
      </c>
      <c r="P90" s="184">
        <v>0</v>
      </c>
      <c r="Q90" s="184">
        <v>0</v>
      </c>
      <c r="R90" s="184">
        <v>5093</v>
      </c>
      <c r="S90" s="184">
        <v>5180.3100000000004</v>
      </c>
      <c r="T90" s="184">
        <v>4977.79</v>
      </c>
      <c r="U90" s="184"/>
      <c r="V90" s="184"/>
      <c r="W90" s="184"/>
      <c r="X90" s="184"/>
      <c r="Y90" s="184"/>
      <c r="Z90" s="184"/>
      <c r="AA90" s="184"/>
    </row>
    <row r="91" spans="6:27" ht="15.75" customHeight="1">
      <c r="F91" s="125" t="s">
        <v>448</v>
      </c>
      <c r="G91" s="125" t="s">
        <v>568</v>
      </c>
      <c r="H91" s="125" t="s">
        <v>452</v>
      </c>
      <c r="I91" s="125" t="s">
        <v>212</v>
      </c>
      <c r="J91" s="125" t="s">
        <v>482</v>
      </c>
      <c r="K91" s="125" t="s">
        <v>483</v>
      </c>
      <c r="M91" s="187">
        <f>AVERAGE(Tabela8[[#This Row],[jan./26]:[dez/26]])</f>
        <v>2334.8239999999996</v>
      </c>
      <c r="N91" s="128">
        <f>SUM(Tabela8[[#This Row],[jan./26]:[dez/26]])</f>
        <v>11674.119999999999</v>
      </c>
      <c r="O91" s="19">
        <f>Tabela8[[#This Row],[YTD]]/Tabela8[[#Totals],[YTD]]</f>
        <v>7.9440394784626341E-3</v>
      </c>
      <c r="P91" s="184">
        <v>0</v>
      </c>
      <c r="Q91" s="184">
        <v>0</v>
      </c>
      <c r="R91" s="184">
        <v>5819.9</v>
      </c>
      <c r="S91" s="184">
        <v>2941.14</v>
      </c>
      <c r="T91" s="184">
        <v>2913.08</v>
      </c>
      <c r="U91" s="184"/>
      <c r="V91" s="184"/>
      <c r="W91" s="184"/>
      <c r="X91" s="184"/>
      <c r="Y91" s="184"/>
      <c r="Z91" s="184"/>
      <c r="AA91" s="184"/>
    </row>
    <row r="92" spans="6:27" ht="15.75" customHeight="1">
      <c r="F92" s="125" t="s">
        <v>448</v>
      </c>
      <c r="G92" s="125" t="s">
        <v>676</v>
      </c>
      <c r="H92" s="125" t="s">
        <v>343</v>
      </c>
      <c r="I92" s="125" t="s">
        <v>212</v>
      </c>
      <c r="J92" s="125" t="s">
        <v>482</v>
      </c>
      <c r="K92" s="125" t="s">
        <v>483</v>
      </c>
      <c r="M92" s="187">
        <f>AVERAGE(Tabela8[[#This Row],[jan./26]:[dez/26]])</f>
        <v>684</v>
      </c>
      <c r="N92" s="128">
        <f>SUM(Tabela8[[#This Row],[jan./26]:[dez/26]])</f>
        <v>3420</v>
      </c>
      <c r="O92" s="19">
        <f>Tabela8[[#This Row],[YTD]]/Tabela8[[#Totals],[YTD]]</f>
        <v>2.3272516486332342E-3</v>
      </c>
      <c r="P92" s="184">
        <v>560</v>
      </c>
      <c r="Q92" s="184">
        <v>700</v>
      </c>
      <c r="R92" s="184">
        <v>560</v>
      </c>
      <c r="S92" s="184">
        <v>800</v>
      </c>
      <c r="T92" s="184">
        <v>800</v>
      </c>
      <c r="U92" s="184"/>
      <c r="V92" s="184"/>
      <c r="W92" s="184"/>
      <c r="X92" s="184"/>
      <c r="Y92" s="184"/>
      <c r="Z92" s="184"/>
      <c r="AA92" s="184"/>
    </row>
    <row r="93" spans="6:27" ht="15.75" customHeight="1">
      <c r="F93" s="125" t="s">
        <v>448</v>
      </c>
      <c r="G93" s="125" t="s">
        <v>568</v>
      </c>
      <c r="H93" s="125" t="s">
        <v>454</v>
      </c>
      <c r="I93" s="125" t="s">
        <v>211</v>
      </c>
      <c r="J93" s="125" t="s">
        <v>482</v>
      </c>
      <c r="K93" s="125" t="s">
        <v>483</v>
      </c>
      <c r="M93" s="187">
        <f>AVERAGE(Tabela8[[#This Row],[jan./26]:[dez/26]])</f>
        <v>524.79600000000005</v>
      </c>
      <c r="N93" s="128">
        <f>SUM(Tabela8[[#This Row],[jan./26]:[dez/26]])</f>
        <v>2623.98</v>
      </c>
      <c r="O93" s="19">
        <f>Tabela8[[#This Row],[YTD]]/Tabela8[[#Totals],[YTD]]</f>
        <v>1.7855736201697759E-3</v>
      </c>
      <c r="P93" s="184">
        <v>0</v>
      </c>
      <c r="Q93" s="184">
        <v>0</v>
      </c>
      <c r="R93" s="184">
        <v>874.66</v>
      </c>
      <c r="S93" s="184">
        <v>874.66</v>
      </c>
      <c r="T93" s="184">
        <v>874.66</v>
      </c>
      <c r="U93" s="184"/>
      <c r="V93" s="184"/>
      <c r="W93" s="184"/>
      <c r="X93" s="184"/>
      <c r="Y93" s="184"/>
      <c r="Z93" s="184"/>
      <c r="AA93" s="184"/>
    </row>
    <row r="94" spans="6:27" ht="15.75" customHeight="1">
      <c r="F94" s="125" t="s">
        <v>448</v>
      </c>
      <c r="G94" s="125" t="s">
        <v>672</v>
      </c>
      <c r="H94" s="125" t="s">
        <v>315</v>
      </c>
      <c r="I94" s="125" t="s">
        <v>211</v>
      </c>
      <c r="J94" s="125" t="s">
        <v>482</v>
      </c>
      <c r="K94" s="125" t="s">
        <v>483</v>
      </c>
      <c r="M94" s="187">
        <f>AVERAGE(Tabela8[[#This Row],[jan./26]:[dez/26]])</f>
        <v>5646.62</v>
      </c>
      <c r="N94" s="128">
        <f>SUM(Tabela8[[#This Row],[jan./26]:[dez/26]])</f>
        <v>28233.1</v>
      </c>
      <c r="O94" s="19">
        <f>Tabela8[[#This Row],[YTD]]/Tabela8[[#Totals],[YTD]]</f>
        <v>1.9212142842405543E-2</v>
      </c>
      <c r="P94" s="184">
        <v>5646.62</v>
      </c>
      <c r="Q94" s="184">
        <v>5646.62</v>
      </c>
      <c r="R94" s="184">
        <v>5646.62</v>
      </c>
      <c r="S94" s="184">
        <v>5646.62</v>
      </c>
      <c r="T94" s="184">
        <v>5646.62</v>
      </c>
      <c r="U94" s="184"/>
      <c r="V94" s="184"/>
      <c r="W94" s="184"/>
      <c r="X94" s="184"/>
      <c r="Y94" s="184"/>
      <c r="Z94" s="184"/>
      <c r="AA94" s="184"/>
    </row>
    <row r="95" spans="6:27" ht="15.75" customHeight="1">
      <c r="F95" s="125" t="s">
        <v>448</v>
      </c>
      <c r="G95" s="125" t="s">
        <v>672</v>
      </c>
      <c r="H95" s="125" t="s">
        <v>332</v>
      </c>
      <c r="I95" s="125" t="s">
        <v>211</v>
      </c>
      <c r="J95" s="125" t="s">
        <v>482</v>
      </c>
      <c r="K95" s="125" t="s">
        <v>483</v>
      </c>
      <c r="M95" s="187">
        <f>AVERAGE(Tabela8[[#This Row],[jan./26]:[dez/26]])</f>
        <v>1110.45</v>
      </c>
      <c r="N95" s="128">
        <f>SUM(Tabela8[[#This Row],[jan./26]:[dez/26]])</f>
        <v>5552.25</v>
      </c>
      <c r="O95" s="19">
        <f>Tabela8[[#This Row],[YTD]]/Tabela8[[#Totals],[YTD]]</f>
        <v>3.7782113936034719E-3</v>
      </c>
      <c r="P95" s="184">
        <v>1110.45</v>
      </c>
      <c r="Q95" s="184">
        <v>1110.45</v>
      </c>
      <c r="R95" s="184">
        <v>1110.45</v>
      </c>
      <c r="S95" s="184">
        <v>1110.45</v>
      </c>
      <c r="T95" s="184">
        <v>1110.45</v>
      </c>
      <c r="U95" s="184"/>
      <c r="V95" s="184"/>
      <c r="W95" s="184"/>
      <c r="X95" s="184"/>
      <c r="Y95" s="184"/>
      <c r="Z95" s="184"/>
      <c r="AA95" s="184"/>
    </row>
    <row r="96" spans="6:27" ht="15.75" customHeight="1">
      <c r="F96" s="125" t="s">
        <v>448</v>
      </c>
      <c r="G96" s="125" t="s">
        <v>676</v>
      </c>
      <c r="H96" s="125" t="s">
        <v>347</v>
      </c>
      <c r="I96" s="125" t="s">
        <v>211</v>
      </c>
      <c r="J96" s="125" t="s">
        <v>482</v>
      </c>
      <c r="K96" s="125" t="s">
        <v>483</v>
      </c>
      <c r="M96" s="187">
        <f>AVERAGE(Tabela8[[#This Row],[jan./26]:[dez/26]])</f>
        <v>430.91400000000004</v>
      </c>
      <c r="N96" s="128">
        <f>SUM(Tabela8[[#This Row],[jan./26]:[dez/26]])</f>
        <v>2154.5700000000002</v>
      </c>
      <c r="O96" s="19">
        <f>Tabela8[[#This Row],[YTD]]/Tabela8[[#Totals],[YTD]]</f>
        <v>1.4661481241507917E-3</v>
      </c>
      <c r="P96" s="184">
        <v>430.44</v>
      </c>
      <c r="Q96" s="184">
        <v>432.81</v>
      </c>
      <c r="R96" s="184">
        <v>430.44</v>
      </c>
      <c r="S96" s="184">
        <v>430.44</v>
      </c>
      <c r="T96" s="184">
        <v>430.44</v>
      </c>
      <c r="U96" s="184"/>
      <c r="V96" s="184"/>
      <c r="W96" s="184"/>
      <c r="X96" s="184"/>
      <c r="Y96" s="184"/>
      <c r="Z96" s="184"/>
      <c r="AA96" s="184"/>
    </row>
    <row r="97" spans="6:27" ht="15.75" customHeight="1">
      <c r="F97" s="125" t="s">
        <v>448</v>
      </c>
      <c r="G97" s="125" t="s">
        <v>676</v>
      </c>
      <c r="H97" s="125" t="s">
        <v>337</v>
      </c>
      <c r="I97" s="125" t="s">
        <v>211</v>
      </c>
      <c r="J97" s="125" t="s">
        <v>482</v>
      </c>
      <c r="K97" s="125" t="s">
        <v>483</v>
      </c>
      <c r="M97" s="187">
        <f>AVERAGE(Tabela8[[#This Row],[jan./26]:[dez/26]])</f>
        <v>942.18000000000006</v>
      </c>
      <c r="N97" s="128">
        <f>SUM(Tabela8[[#This Row],[jan./26]:[dez/26]])</f>
        <v>3768.7200000000003</v>
      </c>
      <c r="O97" s="19">
        <f>Tabela8[[#This Row],[YTD]]/Tabela8[[#Totals],[YTD]]</f>
        <v>2.5645496588412404E-3</v>
      </c>
      <c r="P97" s="184">
        <v>995.58</v>
      </c>
      <c r="Q97" s="184">
        <v>743.23</v>
      </c>
      <c r="R97" s="184">
        <v>996.52</v>
      </c>
      <c r="S97" s="184">
        <v>1033.3900000000001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customHeight="1">
      <c r="F98" s="125" t="s">
        <v>448</v>
      </c>
      <c r="G98" s="125" t="s">
        <v>676</v>
      </c>
      <c r="H98" s="125" t="s">
        <v>361</v>
      </c>
      <c r="I98" s="125" t="s">
        <v>212</v>
      </c>
      <c r="J98" s="125" t="s">
        <v>482</v>
      </c>
      <c r="K98" s="125" t="s">
        <v>483</v>
      </c>
      <c r="M98" s="187">
        <f>AVERAGE(Tabela8[[#This Row],[jan./26]:[dez/26]])</f>
        <v>69.864999999999995</v>
      </c>
      <c r="N98" s="128">
        <f>SUM(Tabela8[[#This Row],[jan./26]:[dez/26]])</f>
        <v>279.45999999999998</v>
      </c>
      <c r="O98" s="19">
        <f>Tabela8[[#This Row],[YTD]]/Tabela8[[#Totals],[YTD]]</f>
        <v>1.9016776190849225E-4</v>
      </c>
      <c r="P98" s="184">
        <v>0</v>
      </c>
      <c r="Q98" s="184">
        <v>234</v>
      </c>
      <c r="R98" s="184">
        <v>0</v>
      </c>
      <c r="S98" s="184">
        <v>45.46</v>
      </c>
      <c r="T98" s="184"/>
      <c r="U98" s="184"/>
      <c r="V98" s="184"/>
      <c r="W98" s="184"/>
      <c r="X98" s="184"/>
      <c r="Y98" s="184"/>
      <c r="Z98" s="184"/>
      <c r="AA98" s="184"/>
    </row>
    <row r="99" spans="6:27" ht="15.75" customHeight="1">
      <c r="F99" s="125" t="s">
        <v>448</v>
      </c>
      <c r="G99" s="125" t="s">
        <v>685</v>
      </c>
      <c r="H99" t="s">
        <v>451</v>
      </c>
      <c r="I99" s="125" t="s">
        <v>211</v>
      </c>
      <c r="J99" s="125" t="s">
        <v>482</v>
      </c>
      <c r="K99" s="125" t="s">
        <v>483</v>
      </c>
      <c r="M99" s="187">
        <f>AVERAGE(Tabela8[[#This Row],[jan./26]:[dez/26]])</f>
        <v>247.67</v>
      </c>
      <c r="N99" s="128">
        <f>SUM(Tabela8[[#This Row],[jan./26]:[dez/26]])</f>
        <v>247.67</v>
      </c>
      <c r="O99" s="19"/>
      <c r="P99" s="184"/>
      <c r="Q99" s="184"/>
      <c r="R99" s="184"/>
      <c r="S99" s="184"/>
      <c r="T99" s="184">
        <v>247.67</v>
      </c>
      <c r="U99" s="184"/>
      <c r="V99" s="184"/>
      <c r="W99" s="184"/>
      <c r="X99" s="184"/>
      <c r="Y99" s="184"/>
      <c r="Z99" s="184"/>
      <c r="AA99" s="184"/>
    </row>
    <row r="100" spans="6:27" ht="15.75" customHeight="1">
      <c r="F100" s="125" t="s">
        <v>448</v>
      </c>
      <c r="G100" s="125" t="s">
        <v>568</v>
      </c>
      <c r="H100" s="125" t="s">
        <v>453</v>
      </c>
      <c r="I100" s="125" t="s">
        <v>211</v>
      </c>
      <c r="J100" s="125" t="s">
        <v>482</v>
      </c>
      <c r="K100" s="125" t="s">
        <v>485</v>
      </c>
      <c r="M100" s="187">
        <f>AVERAGE(Tabela8[[#This Row],[jan./26]:[dez/26]])</f>
        <v>720</v>
      </c>
      <c r="N100" s="128">
        <f>SUM(Tabela8[[#This Row],[jan./26]:[dez/26]])</f>
        <v>3600</v>
      </c>
      <c r="O100" s="19">
        <f>Tabela8[[#This Row],[YTD]]/Tabela8[[#Totals],[YTD]]</f>
        <v>2.4497385775086675E-3</v>
      </c>
      <c r="P100" s="184">
        <v>0</v>
      </c>
      <c r="Q100" s="184">
        <v>0</v>
      </c>
      <c r="R100" s="184">
        <v>1200</v>
      </c>
      <c r="S100" s="184">
        <v>1600</v>
      </c>
      <c r="T100" s="184">
        <v>800</v>
      </c>
      <c r="U100" s="184"/>
      <c r="V100" s="184"/>
      <c r="W100" s="184"/>
      <c r="X100" s="184"/>
      <c r="Y100" s="184"/>
      <c r="Z100" s="184"/>
      <c r="AA100" s="184"/>
    </row>
    <row r="101" spans="6:27" ht="15.75" customHeight="1">
      <c r="F101" s="125" t="s">
        <v>448</v>
      </c>
      <c r="G101" s="125" t="s">
        <v>568</v>
      </c>
      <c r="H101" s="125" t="s">
        <v>455</v>
      </c>
      <c r="I101" s="125" t="s">
        <v>212</v>
      </c>
      <c r="J101" s="125" t="s">
        <v>482</v>
      </c>
      <c r="K101" s="125" t="s">
        <v>485</v>
      </c>
      <c r="M101" s="187">
        <f>AVERAGE(Tabela8[[#This Row],[jan./26]:[dez/26]])</f>
        <v>65.123999999999995</v>
      </c>
      <c r="N101" s="128">
        <f>SUM(Tabela8[[#This Row],[jan./26]:[dez/26]])</f>
        <v>325.62</v>
      </c>
      <c r="O101" s="19">
        <f>Tabela8[[#This Row],[YTD]]/Tabela8[[#Totals],[YTD]]</f>
        <v>2.2157885433565897E-4</v>
      </c>
      <c r="P101" s="184">
        <v>0</v>
      </c>
      <c r="Q101" s="184">
        <v>0</v>
      </c>
      <c r="R101" s="184">
        <v>109.79</v>
      </c>
      <c r="S101" s="184">
        <v>110.33</v>
      </c>
      <c r="T101" s="184">
        <v>105.5</v>
      </c>
      <c r="U101" s="184"/>
      <c r="V101" s="184"/>
      <c r="W101" s="184"/>
      <c r="X101" s="184"/>
      <c r="Y101" s="184"/>
      <c r="Z101" s="184"/>
      <c r="AA101" s="184"/>
    </row>
    <row r="102" spans="6:27" ht="15.75" customHeight="1">
      <c r="F102" s="125" t="s">
        <v>448</v>
      </c>
      <c r="G102" s="125" t="s">
        <v>676</v>
      </c>
      <c r="H102" s="125" t="s">
        <v>349</v>
      </c>
      <c r="I102" s="125" t="s">
        <v>212</v>
      </c>
      <c r="J102" s="125" t="s">
        <v>482</v>
      </c>
      <c r="K102" s="125" t="s">
        <v>485</v>
      </c>
      <c r="M102" s="187">
        <f>AVERAGE(Tabela8[[#This Row],[jan./26]:[dez/26]])</f>
        <v>902.86</v>
      </c>
      <c r="N102" s="128">
        <f>SUM(Tabela8[[#This Row],[jan./26]:[dez/26]])</f>
        <v>4514.3</v>
      </c>
      <c r="O102" s="19">
        <f>Tabela8[[#This Row],[YTD]]/Tabela8[[#Totals],[YTD]]</f>
        <v>3.0719041279020491E-3</v>
      </c>
      <c r="P102" s="184">
        <v>3015</v>
      </c>
      <c r="Q102" s="184">
        <v>350</v>
      </c>
      <c r="R102" s="184">
        <v>500</v>
      </c>
      <c r="S102" s="184">
        <v>462</v>
      </c>
      <c r="T102" s="184">
        <v>187.3</v>
      </c>
      <c r="U102" s="184"/>
      <c r="V102" s="184"/>
      <c r="W102" s="184"/>
      <c r="X102" s="184"/>
      <c r="Y102" s="184"/>
      <c r="Z102" s="184"/>
      <c r="AA102" s="184"/>
    </row>
    <row r="103" spans="6:27" ht="15.75" customHeight="1">
      <c r="F103" s="125" t="s">
        <v>242</v>
      </c>
      <c r="G103" s="125" t="s">
        <v>318</v>
      </c>
      <c r="H103" s="125" t="s">
        <v>319</v>
      </c>
      <c r="I103" s="125" t="s">
        <v>211</v>
      </c>
      <c r="J103" s="125" t="s">
        <v>482</v>
      </c>
      <c r="K103" s="125" t="s">
        <v>488</v>
      </c>
      <c r="M103" s="187">
        <f>AVERAGE(Tabela8[[#This Row],[jan./26]:[dez/26]])</f>
        <v>2734.2150000000001</v>
      </c>
      <c r="N103" s="128">
        <f>SUM(Tabela8[[#This Row],[jan./26]:[dez/26]])</f>
        <v>10936.86</v>
      </c>
      <c r="O103" s="19">
        <f>Tabela8[[#This Row],[YTD]]/Tabela8[[#Totals],[YTD]]</f>
        <v>7.4423466274476232E-3</v>
      </c>
      <c r="P103" s="184">
        <v>2730.6</v>
      </c>
      <c r="Q103" s="184">
        <v>2735.42</v>
      </c>
      <c r="R103" s="184">
        <v>2735.42</v>
      </c>
      <c r="S103" s="184">
        <v>2735.42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customHeight="1">
      <c r="F104" s="125" t="s">
        <v>242</v>
      </c>
      <c r="G104" s="125" t="s">
        <v>654</v>
      </c>
      <c r="H104" s="125" t="s">
        <v>319</v>
      </c>
      <c r="I104" s="125" t="s">
        <v>211</v>
      </c>
      <c r="J104" s="125" t="s">
        <v>482</v>
      </c>
      <c r="K104" s="125" t="s">
        <v>488</v>
      </c>
      <c r="M104" s="187">
        <f>AVERAGE(Tabela8[[#This Row],[jan./26]:[dez/26]])</f>
        <v>7437.6839999999993</v>
      </c>
      <c r="N104" s="128">
        <f>SUM(Tabela8[[#This Row],[jan./26]:[dez/26]])</f>
        <v>37188.42</v>
      </c>
      <c r="O104" s="19">
        <f>Tabela8[[#This Row],[YTD]]/Tabela8[[#Totals],[YTD]]</f>
        <v>2.5306085308498576E-2</v>
      </c>
      <c r="P104" s="184">
        <v>7120.49</v>
      </c>
      <c r="Q104" s="184">
        <v>7284.04</v>
      </c>
      <c r="R104" s="184">
        <v>5797.65</v>
      </c>
      <c r="S104" s="184">
        <v>5238.46</v>
      </c>
      <c r="T104" s="184">
        <v>11747.78</v>
      </c>
      <c r="U104" s="184"/>
      <c r="V104" s="184"/>
      <c r="W104" s="184"/>
      <c r="X104" s="184"/>
      <c r="Y104" s="184"/>
      <c r="Z104" s="184"/>
      <c r="AA104" s="184"/>
    </row>
    <row r="105" spans="6:27" ht="15.75" customHeight="1">
      <c r="F105" s="125" t="s">
        <v>242</v>
      </c>
      <c r="G105" s="125" t="s">
        <v>654</v>
      </c>
      <c r="H105" s="125" t="s">
        <v>323</v>
      </c>
      <c r="I105" s="125" t="s">
        <v>211</v>
      </c>
      <c r="J105" s="125" t="s">
        <v>482</v>
      </c>
      <c r="K105" s="125" t="s">
        <v>488</v>
      </c>
      <c r="M105" s="187">
        <f>AVERAGE(Tabela8[[#This Row],[jan./26]:[dez/26]])</f>
        <v>4123.7559999999994</v>
      </c>
      <c r="N105" s="128">
        <f>SUM(Tabela8[[#This Row],[jan./26]:[dez/26]])</f>
        <v>20618.78</v>
      </c>
      <c r="O105" s="19">
        <f>Tabela8[[#This Row],[YTD]]/Tabela8[[#Totals],[YTD]]</f>
        <v>1.4030727996434489E-2</v>
      </c>
      <c r="P105" s="184">
        <v>4432.18</v>
      </c>
      <c r="Q105" s="184">
        <v>3631.49</v>
      </c>
      <c r="R105" s="184">
        <v>3585.52</v>
      </c>
      <c r="S105" s="184">
        <v>4143.32</v>
      </c>
      <c r="T105" s="184">
        <v>4826.2700000000004</v>
      </c>
      <c r="U105" s="184"/>
      <c r="V105" s="184"/>
      <c r="W105" s="184"/>
      <c r="X105" s="184"/>
      <c r="Y105" s="184"/>
      <c r="Z105" s="184"/>
      <c r="AA105" s="184"/>
    </row>
    <row r="106" spans="6:27" ht="15.75" customHeight="1">
      <c r="F106" s="125" t="s">
        <v>242</v>
      </c>
      <c r="G106" s="125" t="s">
        <v>654</v>
      </c>
      <c r="H106" s="125" t="s">
        <v>336</v>
      </c>
      <c r="I106" s="125" t="s">
        <v>211</v>
      </c>
      <c r="J106" s="125" t="s">
        <v>482</v>
      </c>
      <c r="K106" s="125" t="s">
        <v>488</v>
      </c>
      <c r="M106" s="187">
        <f>AVERAGE(Tabela8[[#This Row],[jan./26]:[dez/26]])</f>
        <v>1023.7139999999999</v>
      </c>
      <c r="N106" s="128">
        <f>SUM(Tabela8[[#This Row],[jan./26]:[dez/26]])</f>
        <v>5118.57</v>
      </c>
      <c r="O106" s="19">
        <f>Tabela8[[#This Row],[YTD]]/Tabela8[[#Totals],[YTD]]</f>
        <v>3.4830995529662608E-3</v>
      </c>
      <c r="P106" s="184">
        <v>1233.26</v>
      </c>
      <c r="Q106" s="184">
        <v>898.37</v>
      </c>
      <c r="R106" s="184">
        <v>887.89</v>
      </c>
      <c r="S106" s="184">
        <v>1009.82</v>
      </c>
      <c r="T106" s="184">
        <v>1089.23</v>
      </c>
      <c r="U106" s="184"/>
      <c r="V106" s="184"/>
      <c r="W106" s="184"/>
      <c r="X106" s="184"/>
      <c r="Y106" s="184"/>
      <c r="Z106" s="184"/>
      <c r="AA106" s="184"/>
    </row>
    <row r="107" spans="6:27" ht="15.75" customHeight="1">
      <c r="F107" s="125" t="s">
        <v>242</v>
      </c>
      <c r="G107" s="125" t="s">
        <v>654</v>
      </c>
      <c r="H107" s="125" t="s">
        <v>345</v>
      </c>
      <c r="I107" s="125" t="s">
        <v>211</v>
      </c>
      <c r="J107" s="125" t="s">
        <v>482</v>
      </c>
      <c r="K107" s="125" t="s">
        <v>488</v>
      </c>
      <c r="M107" s="187">
        <f>AVERAGE(Tabela8[[#This Row],[jan./26]:[dez/26]])</f>
        <v>795.57249999999999</v>
      </c>
      <c r="N107" s="128">
        <f>SUM(Tabela8[[#This Row],[jan./26]:[dez/26]])</f>
        <v>3182.29</v>
      </c>
      <c r="O107" s="19">
        <f>Tabela8[[#This Row],[YTD]]/Tabela8[[#Totals],[YTD]]</f>
        <v>2.1654940493944603E-3</v>
      </c>
      <c r="P107" s="184">
        <v>0</v>
      </c>
      <c r="Q107" s="184">
        <v>3182.29</v>
      </c>
      <c r="R107" s="184">
        <v>0</v>
      </c>
      <c r="S107" s="184">
        <v>0</v>
      </c>
      <c r="T107" s="184"/>
      <c r="U107" s="184"/>
      <c r="V107" s="184"/>
      <c r="W107" s="184"/>
      <c r="X107" s="184"/>
      <c r="Y107" s="184"/>
      <c r="Z107" s="184"/>
      <c r="AA107" s="184"/>
    </row>
    <row r="108" spans="6:27" ht="15.75" customHeight="1">
      <c r="F108" s="125" t="s">
        <v>242</v>
      </c>
      <c r="G108" s="125" t="s">
        <v>654</v>
      </c>
      <c r="H108" s="125" t="s">
        <v>354</v>
      </c>
      <c r="I108" s="125" t="s">
        <v>211</v>
      </c>
      <c r="J108" s="125" t="s">
        <v>482</v>
      </c>
      <c r="K108" s="125" t="s">
        <v>488</v>
      </c>
      <c r="M108" s="187">
        <f>AVERAGE(Tabela8[[#This Row],[jan./26]:[dez/26]])</f>
        <v>440</v>
      </c>
      <c r="N108" s="128">
        <f>SUM(Tabela8[[#This Row],[jan./26]:[dez/26]])</f>
        <v>2200</v>
      </c>
      <c r="O108" s="19">
        <f>Tabela8[[#This Row],[YTD]]/Tabela8[[#Totals],[YTD]]</f>
        <v>1.4970624640330745E-3</v>
      </c>
      <c r="P108" s="184">
        <v>374</v>
      </c>
      <c r="Q108" s="184">
        <v>484</v>
      </c>
      <c r="R108" s="184">
        <v>440</v>
      </c>
      <c r="S108" s="184">
        <v>440</v>
      </c>
      <c r="T108" s="184">
        <v>462</v>
      </c>
      <c r="U108" s="184"/>
      <c r="V108" s="184"/>
      <c r="W108" s="184"/>
      <c r="X108" s="184"/>
      <c r="Y108" s="184"/>
      <c r="Z108" s="184"/>
      <c r="AA108" s="184"/>
    </row>
    <row r="109" spans="6:27" ht="15.75" customHeight="1">
      <c r="F109" s="125" t="s">
        <v>242</v>
      </c>
      <c r="G109" s="125" t="s">
        <v>654</v>
      </c>
      <c r="H109" s="125" t="s">
        <v>330</v>
      </c>
      <c r="I109" s="125" t="s">
        <v>211</v>
      </c>
      <c r="J109" s="125" t="s">
        <v>482</v>
      </c>
      <c r="K109" s="125" t="s">
        <v>488</v>
      </c>
      <c r="M109" s="187">
        <f>AVERAGE(Tabela8[[#This Row],[jan./26]:[dez/26]])</f>
        <v>2622.91</v>
      </c>
      <c r="N109" s="128">
        <f>SUM(Tabela8[[#This Row],[jan./26]:[dez/26]])</f>
        <v>13114.55</v>
      </c>
      <c r="O109" s="19">
        <f>Tabela8[[#This Row],[YTD]]/Tabela8[[#Totals],[YTD]]</f>
        <v>8.9242275171295248E-3</v>
      </c>
      <c r="P109" s="184">
        <v>2414.5699999999997</v>
      </c>
      <c r="Q109" s="184">
        <v>1823.27</v>
      </c>
      <c r="R109" s="184">
        <v>2487.5699999999997</v>
      </c>
      <c r="S109" s="184">
        <v>3601.5699999999997</v>
      </c>
      <c r="T109" s="184">
        <v>2787.57</v>
      </c>
      <c r="U109" s="184"/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242</v>
      </c>
      <c r="G110" s="125" t="s">
        <v>661</v>
      </c>
      <c r="H110" s="125" t="s">
        <v>360</v>
      </c>
      <c r="I110" s="125" t="s">
        <v>211</v>
      </c>
      <c r="J110" s="125" t="s">
        <v>482</v>
      </c>
      <c r="K110" s="125" t="s">
        <v>488</v>
      </c>
      <c r="M110" s="187">
        <f>AVERAGE(Tabela8[[#This Row],[jan./26]:[dez/26]])</f>
        <v>337.30199999999996</v>
      </c>
      <c r="N110" s="128">
        <f>SUM(Tabela8[[#This Row],[jan./26]:[dez/26]])</f>
        <v>1686.5099999999998</v>
      </c>
      <c r="O110" s="19">
        <f>Tabela8[[#This Row],[YTD]]/Tabela8[[#Totals],[YTD]]</f>
        <v>1.1476412800983727E-3</v>
      </c>
      <c r="P110" s="184">
        <v>315.94</v>
      </c>
      <c r="Q110" s="184">
        <v>309.64999999999998</v>
      </c>
      <c r="R110" s="184">
        <v>353.64</v>
      </c>
      <c r="S110" s="184">
        <v>353.64</v>
      </c>
      <c r="T110" s="184">
        <v>353.64</v>
      </c>
      <c r="U110" s="184"/>
      <c r="V110" s="184"/>
      <c r="W110" s="184"/>
      <c r="X110" s="184"/>
      <c r="Y110" s="184"/>
      <c r="Z110" s="184"/>
      <c r="AA110" s="184"/>
    </row>
    <row r="111" spans="6:27" ht="15.75" customHeight="1">
      <c r="F111" s="125" t="s">
        <v>242</v>
      </c>
      <c r="G111" s="125" t="s">
        <v>661</v>
      </c>
      <c r="H111" s="125" t="s">
        <v>359</v>
      </c>
      <c r="I111" s="125" t="s">
        <v>211</v>
      </c>
      <c r="J111" s="125" t="s">
        <v>482</v>
      </c>
      <c r="K111" s="125" t="s">
        <v>488</v>
      </c>
      <c r="M111" s="187">
        <f>AVERAGE(Tabela8[[#This Row],[jan./26]:[dez/26]])</f>
        <v>314.12</v>
      </c>
      <c r="N111" s="128">
        <f>SUM(Tabela8[[#This Row],[jan./26]:[dez/26]])</f>
        <v>1570.6</v>
      </c>
      <c r="O111" s="19">
        <f>Tabela8[[#This Row],[YTD]]/Tabela8[[#Totals],[YTD]]</f>
        <v>1.0687665027319757E-3</v>
      </c>
      <c r="P111" s="184">
        <v>314.12</v>
      </c>
      <c r="Q111" s="184">
        <v>314.12</v>
      </c>
      <c r="R111" s="184">
        <v>314.12</v>
      </c>
      <c r="S111" s="184">
        <v>314.12</v>
      </c>
      <c r="T111" s="184">
        <v>314.12</v>
      </c>
      <c r="U111" s="184"/>
      <c r="V111" s="184"/>
      <c r="W111" s="184"/>
      <c r="X111" s="184"/>
      <c r="Y111" s="184"/>
      <c r="Z111" s="184"/>
      <c r="AA111" s="184"/>
    </row>
    <row r="112" spans="6:27" ht="15.75" customHeight="1">
      <c r="F112" s="125" t="s">
        <v>242</v>
      </c>
      <c r="G112" s="125" t="s">
        <v>568</v>
      </c>
      <c r="H112" s="125" t="s">
        <v>452</v>
      </c>
      <c r="I112" s="125" t="s">
        <v>212</v>
      </c>
      <c r="J112" s="125" t="s">
        <v>482</v>
      </c>
      <c r="K112" s="125" t="s">
        <v>488</v>
      </c>
      <c r="M112" s="187">
        <f>AVERAGE(Tabela8[[#This Row],[jan./26]:[dez/26]])</f>
        <v>233.43400000000003</v>
      </c>
      <c r="N112" s="128">
        <f>SUM(Tabela8[[#This Row],[jan./26]:[dez/26]])</f>
        <v>1167.17</v>
      </c>
      <c r="O112" s="19">
        <f>Tabela8[[#This Row],[YTD]]/Tabela8[[#Totals],[YTD]]</f>
        <v>7.9423927097521988E-4</v>
      </c>
      <c r="P112" s="184">
        <v>219.52</v>
      </c>
      <c r="Q112" s="184">
        <v>219.52</v>
      </c>
      <c r="R112" s="184">
        <v>242.71</v>
      </c>
      <c r="S112" s="184">
        <v>242.71</v>
      </c>
      <c r="T112" s="184">
        <v>242.71</v>
      </c>
      <c r="U112" s="184"/>
      <c r="V112" s="184"/>
      <c r="W112" s="184"/>
      <c r="X112" s="184"/>
      <c r="Y112" s="184"/>
      <c r="Z112" s="184"/>
      <c r="AA112" s="184"/>
    </row>
    <row r="113" spans="6:27" ht="15.75" customHeight="1">
      <c r="F113" s="125" t="s">
        <v>448</v>
      </c>
      <c r="G113" s="125" t="s">
        <v>654</v>
      </c>
      <c r="H113" s="125" t="s">
        <v>319</v>
      </c>
      <c r="I113" s="125" t="s">
        <v>211</v>
      </c>
      <c r="J113" s="125" t="s">
        <v>487</v>
      </c>
      <c r="K113" s="125" t="s">
        <v>488</v>
      </c>
      <c r="M113" s="187">
        <f>AVERAGE(Tabela8[[#This Row],[jan./26]:[dez/26]])</f>
        <v>3467.7259999999997</v>
      </c>
      <c r="N113" s="128">
        <f>SUM(Tabela8[[#This Row],[jan./26]:[dez/26]])</f>
        <v>17338.629999999997</v>
      </c>
      <c r="O113" s="19">
        <f>Tabela8[[#This Row],[YTD]]/Tabela8[[#Totals],[YTD]]</f>
        <v>1.1798641886708082E-2</v>
      </c>
      <c r="P113" s="184">
        <v>3441.9</v>
      </c>
      <c r="Q113" s="184">
        <v>3799.19</v>
      </c>
      <c r="R113" s="184">
        <v>3413.14</v>
      </c>
      <c r="S113" s="184">
        <v>2710.65</v>
      </c>
      <c r="T113" s="184">
        <v>3973.75</v>
      </c>
      <c r="U113" s="184"/>
      <c r="V113" s="184"/>
      <c r="W113" s="184"/>
      <c r="X113" s="184"/>
      <c r="Y113" s="184"/>
      <c r="Z113" s="184"/>
      <c r="AA113" s="184"/>
    </row>
    <row r="114" spans="6:27" ht="15.75" customHeight="1">
      <c r="F114" s="125" t="s">
        <v>448</v>
      </c>
      <c r="G114" s="125" t="s">
        <v>676</v>
      </c>
      <c r="H114" s="125" t="s">
        <v>353</v>
      </c>
      <c r="I114" s="125" t="s">
        <v>211</v>
      </c>
      <c r="J114" s="125" t="s">
        <v>482</v>
      </c>
      <c r="K114" s="125" t="s">
        <v>488</v>
      </c>
      <c r="M114" s="187">
        <f>AVERAGE(Tabela8[[#This Row],[jan./26]:[dez/26]])</f>
        <v>347.892</v>
      </c>
      <c r="N114" s="128">
        <f>SUM(Tabela8[[#This Row],[jan./26]:[dez/26]])</f>
        <v>1739.46</v>
      </c>
      <c r="O114" s="19">
        <f>Tabela8[[#This Row],[YTD]]/Tabela8[[#Totals],[YTD]]</f>
        <v>1.1836728516758962E-3</v>
      </c>
      <c r="P114" s="184">
        <v>339.21</v>
      </c>
      <c r="Q114" s="184">
        <v>352.17</v>
      </c>
      <c r="R114" s="184">
        <v>345.21</v>
      </c>
      <c r="S114" s="184">
        <v>357.66</v>
      </c>
      <c r="T114" s="184">
        <v>345.21</v>
      </c>
      <c r="U114" s="184"/>
      <c r="V114" s="184"/>
      <c r="W114" s="184"/>
      <c r="X114" s="184"/>
      <c r="Y114" s="184"/>
      <c r="Z114" s="184"/>
      <c r="AA114" s="184"/>
    </row>
    <row r="115" spans="6:27" ht="15.75" customHeight="1">
      <c r="F115" s="125" t="s">
        <v>448</v>
      </c>
      <c r="G115" s="125" t="s">
        <v>654</v>
      </c>
      <c r="H115" s="125" t="s">
        <v>330</v>
      </c>
      <c r="I115" s="125" t="s">
        <v>211</v>
      </c>
      <c r="J115" s="125" t="s">
        <v>482</v>
      </c>
      <c r="K115" s="125" t="s">
        <v>488</v>
      </c>
      <c r="M115" s="187">
        <f>AVERAGE(Tabela8[[#This Row],[jan./26]:[dez/26]])</f>
        <v>1661.4</v>
      </c>
      <c r="N115" s="128">
        <f>SUM(Tabela8[[#This Row],[jan./26]:[dez/26]])</f>
        <v>8307</v>
      </c>
      <c r="O115" s="19">
        <f>Tabela8[[#This Row],[YTD]]/Tabela8[[#Totals],[YTD]]</f>
        <v>5.6527717676012499E-3</v>
      </c>
      <c r="P115" s="184">
        <v>1387</v>
      </c>
      <c r="Q115" s="184">
        <v>1606</v>
      </c>
      <c r="R115" s="184">
        <v>1460</v>
      </c>
      <c r="S115" s="184">
        <v>2174</v>
      </c>
      <c r="T115" s="184">
        <v>1680</v>
      </c>
      <c r="U115" s="184"/>
      <c r="V115" s="184"/>
      <c r="W115" s="184"/>
      <c r="X115" s="184"/>
      <c r="Y115" s="184"/>
      <c r="Z115" s="184"/>
      <c r="AA115" s="184"/>
    </row>
    <row r="116" spans="6:27" ht="15.75" customHeight="1">
      <c r="F116" s="125" t="s">
        <v>448</v>
      </c>
      <c r="G116" s="125" t="s">
        <v>676</v>
      </c>
      <c r="H116" s="125" t="s">
        <v>358</v>
      </c>
      <c r="I116" s="125" t="s">
        <v>212</v>
      </c>
      <c r="J116" s="125" t="s">
        <v>480</v>
      </c>
      <c r="K116" s="125" t="s">
        <v>488</v>
      </c>
      <c r="M116" s="187">
        <f>AVERAGE(Tabela8[[#This Row],[jan./26]:[dez/26]])</f>
        <v>204.578</v>
      </c>
      <c r="N116" s="128">
        <f>SUM(Tabela8[[#This Row],[jan./26]:[dez/26]])</f>
        <v>1022.89</v>
      </c>
      <c r="O116" s="19">
        <f>Tabela8[[#This Row],[YTD]]/Tabela8[[#Totals],[YTD]]</f>
        <v>6.9605919265217802E-4</v>
      </c>
      <c r="P116" s="184">
        <v>409.14</v>
      </c>
      <c r="Q116" s="184">
        <v>336.05</v>
      </c>
      <c r="R116" s="184">
        <v>37.799999999999997</v>
      </c>
      <c r="S116" s="184">
        <v>85</v>
      </c>
      <c r="T116" s="184">
        <v>154.9</v>
      </c>
      <c r="U116" s="184"/>
      <c r="V116" s="184"/>
      <c r="W116" s="184"/>
      <c r="X116" s="184"/>
      <c r="Y116" s="184"/>
      <c r="Z116" s="184"/>
      <c r="AA116" s="184"/>
    </row>
    <row r="117" spans="6:27" ht="15.75" customHeight="1">
      <c r="F117" s="125" t="s">
        <v>448</v>
      </c>
      <c r="G117" s="125" t="s">
        <v>654</v>
      </c>
      <c r="H117" s="125" t="s">
        <v>354</v>
      </c>
      <c r="I117" s="125" t="s">
        <v>211</v>
      </c>
      <c r="J117" s="125" t="s">
        <v>482</v>
      </c>
      <c r="K117" s="125" t="s">
        <v>488</v>
      </c>
      <c r="M117" s="187">
        <f>AVERAGE(Tabela8[[#This Row],[jan./26]:[dez/26]])</f>
        <v>814</v>
      </c>
      <c r="N117" s="128">
        <f>SUM(Tabela8[[#This Row],[jan./26]:[dez/26]])</f>
        <v>4070</v>
      </c>
      <c r="O117" s="19">
        <f>Tabela8[[#This Row],[YTD]]/Tabela8[[#Totals],[YTD]]</f>
        <v>2.7695655584611878E-3</v>
      </c>
      <c r="P117" s="184">
        <v>374</v>
      </c>
      <c r="Q117" s="184">
        <v>968</v>
      </c>
      <c r="R117" s="184">
        <v>1364</v>
      </c>
      <c r="S117" s="184">
        <v>440</v>
      </c>
      <c r="T117" s="184">
        <v>924</v>
      </c>
      <c r="U117" s="184"/>
      <c r="V117" s="184"/>
      <c r="W117" s="184"/>
      <c r="X117" s="184"/>
      <c r="Y117" s="184"/>
      <c r="Z117" s="184"/>
      <c r="AA117" s="184"/>
    </row>
    <row r="118" spans="6:27" ht="15.75" customHeight="1">
      <c r="F118" s="125" t="s">
        <v>448</v>
      </c>
      <c r="G118" s="125" t="s">
        <v>654</v>
      </c>
      <c r="H118" s="125" t="s">
        <v>323</v>
      </c>
      <c r="I118" s="125" t="s">
        <v>211</v>
      </c>
      <c r="J118" s="125" t="s">
        <v>482</v>
      </c>
      <c r="K118" s="125" t="s">
        <v>488</v>
      </c>
      <c r="M118" s="187">
        <f>AVERAGE(Tabela8[[#This Row],[jan./26]:[dez/26]])</f>
        <v>1621.0260000000001</v>
      </c>
      <c r="N118" s="128">
        <f>SUM(Tabela8[[#This Row],[jan./26]:[dez/26]])</f>
        <v>8105.13</v>
      </c>
      <c r="O118" s="19">
        <f>Tabela8[[#This Row],[YTD]]/Tabela8[[#Totals],[YTD]]</f>
        <v>5.5154026768674518E-3</v>
      </c>
      <c r="P118" s="184">
        <v>1415.24</v>
      </c>
      <c r="Q118" s="184">
        <v>2076.58</v>
      </c>
      <c r="R118" s="184">
        <v>1360.44</v>
      </c>
      <c r="S118" s="184">
        <v>1684.57</v>
      </c>
      <c r="T118" s="184">
        <v>1568.3</v>
      </c>
      <c r="U118" s="184"/>
      <c r="V118" s="184"/>
      <c r="W118" s="184"/>
      <c r="X118" s="184"/>
      <c r="Y118" s="184"/>
      <c r="Z118" s="184"/>
      <c r="AA118" s="184"/>
    </row>
    <row r="119" spans="6:27" ht="15.75" customHeight="1">
      <c r="F119" s="125" t="s">
        <v>448</v>
      </c>
      <c r="G119" s="125" t="s">
        <v>654</v>
      </c>
      <c r="H119" s="125" t="s">
        <v>336</v>
      </c>
      <c r="I119" s="125" t="s">
        <v>211</v>
      </c>
      <c r="J119" s="125" t="s">
        <v>482</v>
      </c>
      <c r="K119" s="125" t="s">
        <v>488</v>
      </c>
      <c r="M119" s="187">
        <f>AVERAGE(Tabela8[[#This Row],[jan./26]:[dez/26]])</f>
        <v>376.03</v>
      </c>
      <c r="N119" s="128">
        <f>SUM(Tabela8[[#This Row],[jan./26]:[dez/26]])</f>
        <v>1880.1499999999999</v>
      </c>
      <c r="O119" s="19">
        <f>Tabela8[[#This Row],[YTD]]/Tabela8[[#Totals],[YTD]]</f>
        <v>1.2794099962508112E-3</v>
      </c>
      <c r="P119" s="184">
        <v>414.91</v>
      </c>
      <c r="Q119" s="184">
        <v>381.71</v>
      </c>
      <c r="R119" s="184">
        <v>314.88</v>
      </c>
      <c r="S119" s="184">
        <v>407.32</v>
      </c>
      <c r="T119" s="184">
        <v>361.33</v>
      </c>
      <c r="U119" s="184"/>
      <c r="V119" s="184"/>
      <c r="W119" s="184"/>
      <c r="X119" s="184"/>
      <c r="Y119" s="184"/>
      <c r="Z119" s="184"/>
      <c r="AA119" s="184"/>
    </row>
    <row r="120" spans="6:27" ht="15.75" customHeight="1">
      <c r="F120" s="125" t="s">
        <v>448</v>
      </c>
      <c r="G120" s="125" t="s">
        <v>673</v>
      </c>
      <c r="H120" s="125" t="s">
        <v>322</v>
      </c>
      <c r="I120" s="125" t="s">
        <v>212</v>
      </c>
      <c r="J120" s="125" t="s">
        <v>482</v>
      </c>
      <c r="K120" s="125" t="s">
        <v>488</v>
      </c>
      <c r="M120" s="187">
        <f>AVERAGE(Tabela8[[#This Row],[jan./26]:[dez/26]])</f>
        <v>2000</v>
      </c>
      <c r="N120" s="128">
        <f>SUM(Tabela8[[#This Row],[jan./26]:[dez/26]])</f>
        <v>10000</v>
      </c>
      <c r="O120" s="19">
        <f>Tabela8[[#This Row],[YTD]]/Tabela8[[#Totals],[YTD]]</f>
        <v>6.8048293819685203E-3</v>
      </c>
      <c r="P120" s="184">
        <v>2000</v>
      </c>
      <c r="Q120" s="184">
        <v>2000</v>
      </c>
      <c r="R120" s="184">
        <v>2000</v>
      </c>
      <c r="S120" s="184">
        <v>2000</v>
      </c>
      <c r="T120" s="184">
        <v>2000</v>
      </c>
      <c r="U120" s="184"/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448</v>
      </c>
      <c r="G121" s="125" t="s">
        <v>673</v>
      </c>
      <c r="H121" s="125" t="s">
        <v>327</v>
      </c>
      <c r="I121" s="125" t="s">
        <v>212</v>
      </c>
      <c r="J121" s="125" t="s">
        <v>482</v>
      </c>
      <c r="K121" s="125" t="s">
        <v>488</v>
      </c>
      <c r="L121" s="125" t="s">
        <v>491</v>
      </c>
      <c r="M121" s="187">
        <f>AVERAGE(Tabela8[[#This Row],[jan./26]:[dez/26]])</f>
        <v>1900.4740000000002</v>
      </c>
      <c r="N121" s="128">
        <f>SUM(Tabela8[[#This Row],[jan./26]:[dez/26]])</f>
        <v>9502.3700000000008</v>
      </c>
      <c r="O121" s="19">
        <f>Tabela8[[#This Row],[YTD]]/Tabela8[[#Totals],[YTD]]</f>
        <v>6.4662006574336215E-3</v>
      </c>
      <c r="P121" s="184">
        <v>1802.61</v>
      </c>
      <c r="Q121" s="184">
        <v>1924.94</v>
      </c>
      <c r="R121" s="184">
        <v>1924.94</v>
      </c>
      <c r="S121" s="184">
        <v>1924.94</v>
      </c>
      <c r="T121" s="184">
        <v>1924.94</v>
      </c>
      <c r="U121" s="184"/>
      <c r="V121" s="184"/>
      <c r="W121" s="184"/>
      <c r="X121" s="184"/>
      <c r="Y121" s="184"/>
      <c r="Z121" s="184"/>
      <c r="AA121" s="184"/>
    </row>
    <row r="122" spans="6:27" ht="15.75" customHeight="1">
      <c r="F122" s="125" t="s">
        <v>448</v>
      </c>
      <c r="G122" s="125" t="s">
        <v>673</v>
      </c>
      <c r="H122" s="125" t="s">
        <v>340</v>
      </c>
      <c r="I122" s="125" t="s">
        <v>212</v>
      </c>
      <c r="J122" s="125" t="s">
        <v>482</v>
      </c>
      <c r="K122" s="125" t="s">
        <v>488</v>
      </c>
      <c r="M122" s="187">
        <f>AVERAGE(Tabela8[[#This Row],[jan./26]:[dez/26]])</f>
        <v>680.4</v>
      </c>
      <c r="N122" s="128">
        <f>SUM(Tabela8[[#This Row],[jan./26]:[dez/26]])</f>
        <v>3402</v>
      </c>
      <c r="O122" s="19">
        <f>Tabela8[[#This Row],[YTD]]/Tabela8[[#Totals],[YTD]]</f>
        <v>2.3150029557456905E-3</v>
      </c>
      <c r="P122" s="184">
        <v>630</v>
      </c>
      <c r="Q122" s="184">
        <v>693</v>
      </c>
      <c r="R122" s="184">
        <v>693</v>
      </c>
      <c r="S122" s="184">
        <v>693</v>
      </c>
      <c r="T122" s="184">
        <v>693</v>
      </c>
      <c r="U122" s="184"/>
      <c r="V122" s="184"/>
      <c r="W122" s="184"/>
      <c r="X122" s="184"/>
      <c r="Y122" s="184"/>
      <c r="Z122" s="184"/>
      <c r="AA122" s="184"/>
    </row>
    <row r="123" spans="6:27" ht="15.75" customHeight="1">
      <c r="F123" s="125" t="s">
        <v>448</v>
      </c>
      <c r="G123" s="125" t="s">
        <v>654</v>
      </c>
      <c r="H123" s="125" t="s">
        <v>345</v>
      </c>
      <c r="I123" s="125" t="s">
        <v>211</v>
      </c>
      <c r="J123" s="125" t="s">
        <v>482</v>
      </c>
      <c r="K123" s="125" t="s">
        <v>488</v>
      </c>
      <c r="M123" s="187">
        <f>AVERAGE(Tabela8[[#This Row],[jan./26]:[dez/26]])</f>
        <v>612.53250000000003</v>
      </c>
      <c r="N123" s="128">
        <f>SUM(Tabela8[[#This Row],[jan./26]:[dez/26]])</f>
        <v>2450.13</v>
      </c>
      <c r="O123" s="19">
        <f>Tabela8[[#This Row],[YTD]]/Tabela8[[#Totals],[YTD]]</f>
        <v>1.6672716613642532E-3</v>
      </c>
      <c r="P123" s="184">
        <v>0</v>
      </c>
      <c r="Q123" s="184">
        <v>2450.13</v>
      </c>
      <c r="R123" s="184">
        <v>0</v>
      </c>
      <c r="S123" s="184">
        <v>0</v>
      </c>
      <c r="T123" s="184"/>
      <c r="U123" s="184"/>
      <c r="V123" s="184"/>
      <c r="W123" s="184"/>
      <c r="X123" s="184"/>
      <c r="Y123" s="184"/>
      <c r="Z123" s="184"/>
      <c r="AA123" s="184"/>
    </row>
    <row r="124" spans="6:27" ht="15.75" customHeight="1">
      <c r="F124" s="125" t="s">
        <v>448</v>
      </c>
      <c r="G124" s="125" t="s">
        <v>661</v>
      </c>
      <c r="H124" s="125" t="s">
        <v>365</v>
      </c>
      <c r="I124" s="125" t="s">
        <v>212</v>
      </c>
      <c r="J124" s="125" t="s">
        <v>482</v>
      </c>
      <c r="K124" s="125" t="s">
        <v>488</v>
      </c>
      <c r="M124" s="187">
        <f>AVERAGE(Tabela8[[#This Row],[jan./26]:[dez/26]])</f>
        <v>120</v>
      </c>
      <c r="N124" s="128">
        <f>SUM(Tabela8[[#This Row],[jan./26]:[dez/26]])</f>
        <v>600</v>
      </c>
      <c r="O124" s="19">
        <f>Tabela8[[#This Row],[YTD]]/Tabela8[[#Totals],[YTD]]</f>
        <v>4.0828976291811122E-4</v>
      </c>
      <c r="P124" s="184">
        <v>120</v>
      </c>
      <c r="Q124" s="184">
        <v>120</v>
      </c>
      <c r="R124" s="184">
        <v>120</v>
      </c>
      <c r="S124" s="184">
        <v>120</v>
      </c>
      <c r="T124" s="184">
        <v>120</v>
      </c>
      <c r="U124" s="184"/>
      <c r="V124" s="184"/>
      <c r="W124" s="184"/>
      <c r="X124" s="184"/>
      <c r="Y124" s="184"/>
      <c r="Z124" s="184"/>
      <c r="AA124" s="184"/>
    </row>
    <row r="125" spans="6:27" ht="15.75" customHeight="1">
      <c r="F125" s="125" t="s">
        <v>448</v>
      </c>
      <c r="G125" s="125" t="s">
        <v>675</v>
      </c>
      <c r="H125" s="125" t="s">
        <v>25</v>
      </c>
      <c r="I125" s="125" t="s">
        <v>212</v>
      </c>
      <c r="J125" s="125" t="s">
        <v>482</v>
      </c>
      <c r="K125" s="125" t="s">
        <v>488</v>
      </c>
      <c r="L125" s="125" t="s">
        <v>492</v>
      </c>
      <c r="M125" s="187">
        <f>AVERAGE(Tabela8[[#This Row],[jan./26]:[dez/26]])</f>
        <v>906.86</v>
      </c>
      <c r="N125" s="128">
        <f>SUM(Tabela8[[#This Row],[jan./26]:[dez/26]])</f>
        <v>4534.3</v>
      </c>
      <c r="O125" s="19">
        <f>Tabela8[[#This Row],[YTD]]/Tabela8[[#Totals],[YTD]]</f>
        <v>3.0855137866659865E-3</v>
      </c>
      <c r="P125" s="184">
        <v>906.86</v>
      </c>
      <c r="Q125" s="184">
        <v>906.86</v>
      </c>
      <c r="R125" s="184">
        <v>906.86</v>
      </c>
      <c r="S125" s="184">
        <v>906.86</v>
      </c>
      <c r="T125" s="184">
        <v>906.86</v>
      </c>
      <c r="U125" s="184"/>
      <c r="V125" s="184"/>
      <c r="W125" s="184"/>
      <c r="X125" s="184"/>
      <c r="Y125" s="184"/>
      <c r="Z125" s="184"/>
      <c r="AA125" s="184"/>
    </row>
    <row r="126" spans="6:27" ht="15.75" customHeight="1">
      <c r="F126" s="125" t="s">
        <v>448</v>
      </c>
      <c r="G126" s="125" t="s">
        <v>682</v>
      </c>
      <c r="H126" s="125" t="s">
        <v>338</v>
      </c>
      <c r="I126" s="125" t="s">
        <v>212</v>
      </c>
      <c r="J126" s="125" t="s">
        <v>482</v>
      </c>
      <c r="K126" s="125" t="s">
        <v>488</v>
      </c>
      <c r="L126" s="125" t="s">
        <v>493</v>
      </c>
      <c r="M126" s="187">
        <f>AVERAGE(Tabela8[[#This Row],[jan./26]:[dez/26]])</f>
        <v>537.1825</v>
      </c>
      <c r="N126" s="128">
        <f>SUM(Tabela8[[#This Row],[jan./26]:[dez/26]])</f>
        <v>2148.73</v>
      </c>
      <c r="O126" s="19">
        <f>Tabela8[[#This Row],[YTD]]/Tabela8[[#Totals],[YTD]]</f>
        <v>1.4621741037917219E-3</v>
      </c>
      <c r="P126" s="184">
        <v>1523.59</v>
      </c>
      <c r="Q126" s="184">
        <v>98.14</v>
      </c>
      <c r="R126" s="184">
        <v>237</v>
      </c>
      <c r="S126" s="184">
        <v>290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customHeight="1">
      <c r="F127" s="125" t="s">
        <v>448</v>
      </c>
      <c r="G127" s="125" t="s">
        <v>676</v>
      </c>
      <c r="H127" s="125" t="s">
        <v>355</v>
      </c>
      <c r="I127" s="125" t="s">
        <v>490</v>
      </c>
      <c r="J127" s="125" t="s">
        <v>480</v>
      </c>
      <c r="K127" s="125" t="s">
        <v>488</v>
      </c>
      <c r="M127" s="187">
        <f>AVERAGE(Tabela8[[#This Row],[jan./26]:[dez/26]])</f>
        <v>15.7575</v>
      </c>
      <c r="N127" s="128">
        <f>SUM(Tabela8[[#This Row],[jan./26]:[dez/26]])</f>
        <v>63.03</v>
      </c>
      <c r="O127" s="19">
        <f>Tabela8[[#This Row],[YTD]]/Tabela8[[#Totals],[YTD]]</f>
        <v>4.2890839594547584E-5</v>
      </c>
      <c r="P127" s="184">
        <v>63.03</v>
      </c>
      <c r="Q127" s="184">
        <v>0</v>
      </c>
      <c r="R127" s="184">
        <v>0</v>
      </c>
      <c r="S127" s="184">
        <v>0</v>
      </c>
      <c r="T127" s="184"/>
      <c r="U127" s="184"/>
      <c r="V127" s="184"/>
      <c r="W127" s="184"/>
      <c r="X127" s="184"/>
      <c r="Y127" s="184"/>
      <c r="Z127" s="184"/>
      <c r="AA127" s="184"/>
    </row>
    <row r="128" spans="6:27" ht="15.75" customHeight="1">
      <c r="F128" s="194" t="s">
        <v>150</v>
      </c>
      <c r="G128" s="194"/>
      <c r="H128" s="194"/>
      <c r="I128" s="194"/>
      <c r="J128" s="194"/>
      <c r="K128" s="194"/>
      <c r="L128" s="194"/>
      <c r="M128" s="198">
        <f>SUBTOTAL(109,Tabela8[Média])</f>
        <v>319892.7855</v>
      </c>
      <c r="N128" s="195">
        <f>SUBTOTAL(109,Tabela8[YTD])</f>
        <v>1469544.5599999998</v>
      </c>
      <c r="O128" s="196">
        <f>SUBTOTAL(109,Tabela8[100%])</f>
        <v>0.99454507864667929</v>
      </c>
      <c r="P128" s="197">
        <f>SUBTOTAL(109,Tabela8[jan./26])</f>
        <v>482609.56000000006</v>
      </c>
      <c r="Q128" s="197">
        <f>SUBTOTAL(109,Tabela8[fev./26])</f>
        <v>217961.79999999996</v>
      </c>
      <c r="R128" s="197">
        <f>SUBTOTAL(109,Tabela8[mar./26])</f>
        <v>237074.74999999994</v>
      </c>
      <c r="S128" s="197">
        <f>SUBTOTAL(109,Tabela8[abr./26])</f>
        <v>291205.27000000014</v>
      </c>
      <c r="T128" s="197">
        <f>SUBTOTAL(109,Tabela8[mai/26])</f>
        <v>240693.17999999996</v>
      </c>
      <c r="U128" s="197">
        <f>SUBTOTAL(109,Tabela8[jun/26])</f>
        <v>0</v>
      </c>
      <c r="V128" s="197">
        <f>SUBTOTAL(109,Tabela8[jul/26])</f>
        <v>0</v>
      </c>
      <c r="W128" s="197">
        <f>SUBTOTAL(109,Tabela8[ago/26])</f>
        <v>0</v>
      </c>
      <c r="X128" s="197">
        <f>SUBTOTAL(109,Tabela8[set/26])</f>
        <v>0</v>
      </c>
      <c r="Y128" s="197">
        <f>SUBTOTAL(109,Tabela8[out/26])</f>
        <v>0</v>
      </c>
      <c r="Z128" s="197">
        <f>SUBTOTAL(109,Tabela8[nov/26])</f>
        <v>0</v>
      </c>
      <c r="AA128" s="197">
        <f>SUBTOTAL(109,Tabela8[dez/26])</f>
        <v>0</v>
      </c>
    </row>
    <row r="129" spans="14:27" ht="15.75" customHeight="1">
      <c r="N129" s="128"/>
      <c r="O129" s="19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spans="14:27" ht="15.75" customHeight="1">
      <c r="N130" s="128"/>
      <c r="O130" s="19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spans="14:27" ht="15.75" customHeight="1">
      <c r="N131" s="128"/>
      <c r="O131" s="19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spans="14:27" ht="15.75" customHeight="1">
      <c r="N132" s="128"/>
      <c r="O132" s="19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spans="14:27" ht="15.75" customHeight="1">
      <c r="N133" s="128"/>
      <c r="O133" s="1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4:27" ht="15.75" customHeight="1">
      <c r="N134" s="128"/>
      <c r="O134" s="1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4:27" ht="15.75" customHeight="1">
      <c r="N135" s="128"/>
      <c r="O135" s="1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4:27" ht="15.75" customHeight="1">
      <c r="N136" s="128"/>
      <c r="O136" s="1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4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4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4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4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4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4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4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4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>
      <c r="N154" s="128"/>
      <c r="O154" s="1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</sheetData>
  <mergeCells count="1">
    <mergeCell ref="AC10:AC11"/>
  </mergeCells>
  <phoneticPr fontId="43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T23" sqref="T23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595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531</v>
      </c>
      <c r="M5" s="307" t="s">
        <v>530</v>
      </c>
      <c r="N5" s="307" t="s">
        <v>529</v>
      </c>
      <c r="O5" s="308" t="s">
        <v>528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562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596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531</v>
      </c>
      <c r="M9" s="307" t="s">
        <v>530</v>
      </c>
      <c r="N9" s="307" t="s">
        <v>529</v>
      </c>
      <c r="O9" s="308" t="s">
        <v>528</v>
      </c>
    </row>
    <row r="10" spans="3:19">
      <c r="D10" s="309" t="s">
        <v>597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598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599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558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600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601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602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603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604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605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C6" zoomScale="182" workbookViewId="0">
      <selection activeCell="K9" sqref="K9"/>
    </sheetView>
  </sheetViews>
  <sheetFormatPr baseColWidth="10" defaultRowHeight="15"/>
  <cols>
    <col min="9" max="9" width="19.5" bestFit="1" customWidth="1"/>
    <col min="11" max="11" width="12.5" bestFit="1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445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497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498</v>
      </c>
      <c r="J22" s="121">
        <v>0.3</v>
      </c>
      <c r="K22" s="192">
        <f>K21*J22</f>
        <v>3917.3841300000008</v>
      </c>
    </row>
    <row r="23" spans="9:11">
      <c r="I23" t="s">
        <v>501</v>
      </c>
      <c r="J23" s="121">
        <v>0.2</v>
      </c>
      <c r="K23" s="192">
        <f>K21*J23</f>
        <v>2611.5894200000007</v>
      </c>
    </row>
    <row r="24" spans="9:11">
      <c r="I24" t="s">
        <v>499</v>
      </c>
      <c r="K24" s="192">
        <f>K21-K22-K23</f>
        <v>6528.9735500000024</v>
      </c>
    </row>
    <row r="25" spans="9:11">
      <c r="K25" s="192"/>
    </row>
    <row r="26" spans="9:11">
      <c r="I26" t="s">
        <v>500</v>
      </c>
      <c r="K26" s="192">
        <f>1600*4</f>
        <v>6400</v>
      </c>
    </row>
    <row r="27" spans="9:11">
      <c r="K27" s="192"/>
    </row>
    <row r="28" spans="9:11">
      <c r="I28" t="s">
        <v>119</v>
      </c>
      <c r="K28" s="192">
        <f>K24-K26</f>
        <v>128.97355000000243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6"/>
  <sheetViews>
    <sheetView topLeftCell="A2" zoomScale="120" zoomScaleNormal="120" workbookViewId="0">
      <selection activeCell="G11" sqref="G11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398" t="s">
        <v>588</v>
      </c>
      <c r="F4" s="398"/>
      <c r="G4" s="398"/>
      <c r="H4" s="398"/>
    </row>
    <row r="6" spans="5:8">
      <c r="E6" s="266" t="s">
        <v>571</v>
      </c>
      <c r="F6" s="267"/>
      <c r="G6" s="268">
        <f>SUM(G7:G8)</f>
        <v>3057</v>
      </c>
      <c r="H6" s="271">
        <f>G6/$G$31</f>
        <v>0.38966303134129743</v>
      </c>
    </row>
    <row r="7" spans="5:8">
      <c r="E7" s="4"/>
      <c r="F7" t="s">
        <v>577</v>
      </c>
      <c r="G7" s="192">
        <v>3057</v>
      </c>
      <c r="H7" s="192">
        <v>-465.45</v>
      </c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572</v>
      </c>
      <c r="F10" s="267"/>
      <c r="G10" s="268">
        <f>SUM(G11:G16)</f>
        <v>2913.08</v>
      </c>
      <c r="H10" s="271">
        <f>G10/$G$31</f>
        <v>0.37131814960409115</v>
      </c>
    </row>
    <row r="11" spans="5:8">
      <c r="E11" s="4"/>
      <c r="F11" t="s">
        <v>578</v>
      </c>
      <c r="G11" s="192">
        <v>187</v>
      </c>
    </row>
    <row r="12" spans="5:8">
      <c r="E12" s="4"/>
      <c r="F12" t="s">
        <v>589</v>
      </c>
      <c r="G12" s="192">
        <v>1133.1400000000001</v>
      </c>
    </row>
    <row r="13" spans="5:8">
      <c r="E13" s="4"/>
      <c r="F13" t="s">
        <v>579</v>
      </c>
      <c r="G13" s="192">
        <v>55</v>
      </c>
    </row>
    <row r="14" spans="5:8">
      <c r="E14" s="4"/>
      <c r="F14" t="s">
        <v>580</v>
      </c>
      <c r="G14" s="192">
        <v>71.069999999999993</v>
      </c>
    </row>
    <row r="15" spans="5:8">
      <c r="E15" s="4"/>
      <c r="F15" t="s">
        <v>581</v>
      </c>
      <c r="G15" s="192">
        <v>108.57</v>
      </c>
    </row>
    <row r="16" spans="5:8">
      <c r="E16" s="265"/>
      <c r="F16" s="263" t="s">
        <v>582</v>
      </c>
      <c r="G16" s="264">
        <v>1358.3</v>
      </c>
      <c r="H16" s="263"/>
    </row>
    <row r="17" spans="5:8">
      <c r="E17" s="4"/>
    </row>
    <row r="18" spans="5:8">
      <c r="E18" s="266" t="s">
        <v>573</v>
      </c>
      <c r="F18" s="267"/>
      <c r="G18" s="268">
        <f>SUM(G19:G20)</f>
        <v>874.66</v>
      </c>
      <c r="H18" s="271">
        <f>G18/$G$31</f>
        <v>0.11148925972946652</v>
      </c>
    </row>
    <row r="19" spans="5:8">
      <c r="E19" s="4"/>
      <c r="F19" t="s">
        <v>583</v>
      </c>
      <c r="G19" s="192">
        <v>93.5</v>
      </c>
    </row>
    <row r="20" spans="5:8">
      <c r="E20" s="265"/>
      <c r="F20" s="263" t="s">
        <v>584</v>
      </c>
      <c r="G20" s="264">
        <v>781.16</v>
      </c>
      <c r="H20" s="263"/>
    </row>
    <row r="21" spans="5:8">
      <c r="E21" s="4"/>
    </row>
    <row r="22" spans="5:8">
      <c r="E22" s="266" t="s">
        <v>574</v>
      </c>
      <c r="F22" s="267"/>
      <c r="G22" s="268">
        <f>SUM(G23)</f>
        <v>800</v>
      </c>
      <c r="H22" s="271">
        <f>G22/$G$31</f>
        <v>0.10197266112955117</v>
      </c>
    </row>
    <row r="23" spans="5:8">
      <c r="E23" s="265"/>
      <c r="F23" s="263" t="s">
        <v>585</v>
      </c>
      <c r="G23" s="264">
        <v>800</v>
      </c>
      <c r="H23" s="264">
        <v>-800</v>
      </c>
    </row>
    <row r="24" spans="5:8">
      <c r="E24" s="4"/>
    </row>
    <row r="25" spans="5:8">
      <c r="E25" s="266" t="s">
        <v>575</v>
      </c>
      <c r="F25" s="267"/>
      <c r="G25" s="268">
        <f>SUM(G26)</f>
        <v>105.5</v>
      </c>
      <c r="H25" s="271">
        <f>G25/$G$31</f>
        <v>1.3447644686459561E-2</v>
      </c>
    </row>
    <row r="26" spans="5:8">
      <c r="E26" s="265"/>
      <c r="F26" s="263" t="s">
        <v>586</v>
      </c>
      <c r="G26" s="264">
        <v>105.5</v>
      </c>
      <c r="H26" s="263"/>
    </row>
    <row r="27" spans="5:8">
      <c r="E27" s="4"/>
    </row>
    <row r="28" spans="5:8">
      <c r="E28" s="266" t="s">
        <v>576</v>
      </c>
      <c r="F28" s="267"/>
      <c r="G28" s="268">
        <f>SUM(G29)</f>
        <v>95</v>
      </c>
      <c r="H28" s="271">
        <f>G28/$G$31</f>
        <v>1.2109253509134202E-2</v>
      </c>
    </row>
    <row r="29" spans="5:8">
      <c r="E29" s="265"/>
      <c r="F29" s="263" t="s">
        <v>587</v>
      </c>
      <c r="G29" s="264">
        <v>95</v>
      </c>
      <c r="H29" s="263"/>
    </row>
    <row r="31" spans="5:8" ht="16" thickBot="1">
      <c r="E31" s="269" t="s">
        <v>150</v>
      </c>
      <c r="F31" s="269">
        <f>COUNTA(F29,F26,F23,F20,F19,F16,F15,F14,F13,F12,F11,F8,F7)</f>
        <v>12</v>
      </c>
      <c r="G31" s="270">
        <f>G6+G10+G18+G22+G25+G28</f>
        <v>7845.24</v>
      </c>
      <c r="H31" s="272">
        <f>G31/$G$31</f>
        <v>1</v>
      </c>
    </row>
    <row r="32" spans="5:8" ht="16" thickTop="1"/>
    <row r="34" spans="5:8">
      <c r="E34" s="399" t="s">
        <v>591</v>
      </c>
      <c r="F34" s="399"/>
      <c r="G34" s="275">
        <f>H7+H8+H11+H12+H13+H14+H15+H16+H19+H23+H29+H26</f>
        <v>-1265.45</v>
      </c>
      <c r="H34" s="277">
        <f>G34/G31</f>
        <v>-0.16130163003298817</v>
      </c>
    </row>
    <row r="35" spans="5:8" ht="16" thickBot="1">
      <c r="E35" s="400" t="s">
        <v>592</v>
      </c>
      <c r="F35" s="400"/>
      <c r="G35" s="276">
        <f>G31+G34</f>
        <v>6579.79</v>
      </c>
      <c r="H35" s="278">
        <f>G35/G31</f>
        <v>0.83869836996701186</v>
      </c>
    </row>
    <row r="36" spans="5:8" ht="16" thickTop="1"/>
  </sheetData>
  <mergeCells count="3">
    <mergeCell ref="E4:H4"/>
    <mergeCell ref="E34:F34"/>
    <mergeCell ref="E35:F35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workbookViewId="0">
      <selection activeCell="T61" sqref="T61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644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639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6863.2199999999993</v>
      </c>
      <c r="N6" s="344">
        <f t="shared" si="0"/>
        <v>6863.2199999999993</v>
      </c>
      <c r="O6" s="344">
        <f t="shared" si="0"/>
        <v>9488.2199999999993</v>
      </c>
      <c r="P6" s="344">
        <f>SUM(P7:P13)</f>
        <v>9488.2199999999993</v>
      </c>
      <c r="Q6" s="345">
        <f>SUM(E6:P6)</f>
        <v>93967.05</v>
      </c>
    </row>
    <row r="7" spans="1:17" hidden="1" outlineLevel="1">
      <c r="A7" s="335"/>
      <c r="D7" s="350" t="s">
        <v>645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5426.4</v>
      </c>
      <c r="N7" s="338">
        <f>'[3]Salários YTD'!N7</f>
        <v>5426.4</v>
      </c>
      <c r="O7" s="338">
        <f>'[3]Salários YTD'!O7</f>
        <v>5426.4</v>
      </c>
      <c r="P7" s="338">
        <f>'[3]Salários YTD'!P7</f>
        <v>5426.4</v>
      </c>
      <c r="Q7" s="349">
        <f t="shared" ref="Q7:Q57" si="1">SUM(E7:P7)</f>
        <v>65011.530000000006</v>
      </c>
    </row>
    <row r="8" spans="1:17" hidden="1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1093</v>
      </c>
      <c r="N8" s="338">
        <f>'[3]Salários YTD'!N8</f>
        <v>1093</v>
      </c>
      <c r="O8" s="338">
        <f>'[3]Salários YTD'!O8</f>
        <v>1093</v>
      </c>
      <c r="P8" s="338">
        <f>'[3]Salários YTD'!P8</f>
        <v>1093</v>
      </c>
      <c r="Q8" s="349">
        <f t="shared" si="1"/>
        <v>13536</v>
      </c>
    </row>
    <row r="9" spans="1:17" hidden="1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hidden="1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29.7</v>
      </c>
      <c r="O10" s="338">
        <f>'[3]Salários YTD'!O10</f>
        <v>29.7</v>
      </c>
      <c r="P10" s="338">
        <f>'[3]Salários YTD'!P10</f>
        <v>29.7</v>
      </c>
      <c r="Q10" s="349">
        <f t="shared" si="1"/>
        <v>356.39999999999992</v>
      </c>
    </row>
    <row r="11" spans="1:17" hidden="1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314.12</v>
      </c>
      <c r="N11" s="338">
        <f>'[3]Salários YTD'!N11</f>
        <v>314.12</v>
      </c>
      <c r="O11" s="338">
        <f>'[3]Salários YTD'!O11</f>
        <v>314.12</v>
      </c>
      <c r="P11" s="338">
        <f>'[3]Salários YTD'!P11</f>
        <v>314.12</v>
      </c>
      <c r="Q11" s="349">
        <f t="shared" si="1"/>
        <v>2827.0799999999995</v>
      </c>
    </row>
    <row r="12" spans="1:17" hidden="1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hidden="1" outlineLevel="1">
      <c r="D13" s="348" t="s">
        <v>646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2625</v>
      </c>
      <c r="P13" s="338">
        <f>'[3]Salários YTD'!P13</f>
        <v>2625</v>
      </c>
      <c r="Q13" s="349">
        <f t="shared" si="1"/>
        <v>5250</v>
      </c>
    </row>
    <row r="14" spans="1:17" collapsed="1">
      <c r="D14" s="343" t="s">
        <v>641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3536.8</v>
      </c>
      <c r="L14" s="344">
        <f t="shared" si="2"/>
        <v>3536.8</v>
      </c>
      <c r="M14" s="344">
        <f t="shared" si="2"/>
        <v>3536.8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52280.48000000001</v>
      </c>
    </row>
    <row r="15" spans="1:17" hidden="1" outlineLevel="1">
      <c r="D15" s="350" t="s">
        <v>645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2310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27720</v>
      </c>
    </row>
    <row r="16" spans="1:17" hidden="1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847.3</v>
      </c>
      <c r="L16" s="338">
        <f>'[3]Salários YTD'!L16</f>
        <v>847.3</v>
      </c>
      <c r="M16" s="338">
        <f>'[3]Salários YTD'!M16</f>
        <v>847.3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10040.299999999999</v>
      </c>
    </row>
    <row r="17" spans="4:17" hidden="1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hidden="1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hidden="1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hidden="1" outlineLevel="1">
      <c r="D20" s="350" t="s">
        <v>638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0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6588.18</v>
      </c>
    </row>
    <row r="21" spans="4:17" hidden="1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hidden="1" outlineLevel="1">
      <c r="D22" s="348" t="s">
        <v>646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 collapsed="1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4556.8</v>
      </c>
      <c r="L23" s="344">
        <f t="shared" ref="L23" si="9">SUM(L24:L30)</f>
        <v>4556.8</v>
      </c>
      <c r="M23" s="344">
        <f t="shared" ref="M23" si="10">SUM(M24:M30)</f>
        <v>10156.799999999999</v>
      </c>
      <c r="N23" s="344">
        <f t="shared" ref="N23" si="11">SUM(N24:N30)</f>
        <v>4556.8</v>
      </c>
      <c r="O23" s="344">
        <f t="shared" ref="O23" si="12">SUM(O24:O30)</f>
        <v>6236.8</v>
      </c>
      <c r="P23" s="344">
        <f t="shared" ref="P23" si="13">SUM(P24:P30)</f>
        <v>6236.8</v>
      </c>
      <c r="Q23" s="345">
        <f t="shared" si="1"/>
        <v>63185.300000000017</v>
      </c>
    </row>
    <row r="24" spans="4:17" hidden="1" outlineLevel="1">
      <c r="D24" s="350" t="s">
        <v>645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3389.4</v>
      </c>
      <c r="L24" s="338">
        <f>'[3]Salários YTD'!L24</f>
        <v>3389.4</v>
      </c>
      <c r="M24" s="338">
        <f>'[3]Salários YTD'!M24</f>
        <v>3389.4</v>
      </c>
      <c r="N24" s="338">
        <f>'[3]Salários YTD'!N24</f>
        <v>3389.4</v>
      </c>
      <c r="O24" s="338">
        <f>'[3]Salários YTD'!O24</f>
        <v>3389.4</v>
      </c>
      <c r="P24" s="338">
        <f>'[3]Salários YTD'!P24</f>
        <v>3389.4</v>
      </c>
      <c r="Q24" s="349">
        <f t="shared" si="1"/>
        <v>40365.80000000001</v>
      </c>
    </row>
    <row r="25" spans="4:17" hidden="1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847.3</v>
      </c>
      <c r="L25" s="338">
        <f>'[3]Salários YTD'!L25</f>
        <v>847.3</v>
      </c>
      <c r="M25" s="338">
        <f>'[3]Salários YTD'!M25</f>
        <v>847.3</v>
      </c>
      <c r="N25" s="338">
        <f>'[3]Salários YTD'!N25</f>
        <v>847.3</v>
      </c>
      <c r="O25" s="338">
        <f>'[3]Salários YTD'!O25</f>
        <v>847.3</v>
      </c>
      <c r="P25" s="338">
        <f>'[3]Salários YTD'!P25</f>
        <v>847.3</v>
      </c>
      <c r="Q25" s="349">
        <f t="shared" si="1"/>
        <v>10040.299999999999</v>
      </c>
    </row>
    <row r="26" spans="4:17" hidden="1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231</v>
      </c>
      <c r="L26" s="338">
        <f>'[3]Salários YTD'!L26</f>
        <v>231</v>
      </c>
      <c r="M26" s="338">
        <f>'[3]Salários YTD'!M26</f>
        <v>231</v>
      </c>
      <c r="N26" s="338">
        <f>'[3]Salários YTD'!N26</f>
        <v>231</v>
      </c>
      <c r="O26" s="338">
        <f>'[3]Salários YTD'!O26</f>
        <v>231</v>
      </c>
      <c r="P26" s="338">
        <f>'[3]Salários YTD'!P26</f>
        <v>231</v>
      </c>
      <c r="Q26" s="349">
        <f t="shared" si="1"/>
        <v>2750</v>
      </c>
    </row>
    <row r="27" spans="4:17" hidden="1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89.1</v>
      </c>
      <c r="L27" s="338">
        <f>'[3]Salários YTD'!L27</f>
        <v>89.1</v>
      </c>
      <c r="M27" s="338">
        <f>'[3]Salários YTD'!M27</f>
        <v>89.1</v>
      </c>
      <c r="N27" s="338">
        <f>'[3]Salários YTD'!N27</f>
        <v>89.1</v>
      </c>
      <c r="O27" s="338">
        <f>'[3]Salários YTD'!O27</f>
        <v>89.1</v>
      </c>
      <c r="P27" s="338">
        <f>'[3]Salários YTD'!P27</f>
        <v>89.1</v>
      </c>
      <c r="Q27" s="349">
        <f t="shared" si="1"/>
        <v>1069.2</v>
      </c>
    </row>
    <row r="28" spans="4:17" hidden="1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hidden="1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5600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5600</v>
      </c>
    </row>
    <row r="30" spans="4:17" hidden="1" outlineLevel="1">
      <c r="D30" s="348" t="s">
        <v>646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1680</v>
      </c>
      <c r="P30" s="338">
        <f>'[3]Salários YTD'!P30</f>
        <v>1680</v>
      </c>
      <c r="Q30" s="349">
        <f t="shared" si="1"/>
        <v>3360</v>
      </c>
    </row>
    <row r="31" spans="4:17" collapsed="1">
      <c r="D31" s="343" t="s">
        <v>640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3230.1</v>
      </c>
      <c r="L31" s="344">
        <f t="shared" ref="L31" si="20">SUM(L32:L38)</f>
        <v>3230.1</v>
      </c>
      <c r="M31" s="344">
        <f t="shared" ref="M31" si="21">SUM(M32:M38)</f>
        <v>3230.1</v>
      </c>
      <c r="N31" s="344">
        <f t="shared" ref="N31" si="22">SUM(N32:N38)</f>
        <v>3230.1</v>
      </c>
      <c r="O31" s="344">
        <f t="shared" ref="O31" si="23">SUM(O32:O38)</f>
        <v>4280.1000000000004</v>
      </c>
      <c r="P31" s="344">
        <f t="shared" ref="P31" si="24">SUM(P32:P38)</f>
        <v>4280.1000000000004</v>
      </c>
      <c r="Q31" s="345">
        <f t="shared" si="1"/>
        <v>41462.619999999988</v>
      </c>
    </row>
    <row r="32" spans="4:17" outlineLevel="1">
      <c r="D32" s="350" t="s">
        <v>645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2129.4</v>
      </c>
      <c r="N32" s="338">
        <f>'[3]Salários YTD'!N32</f>
        <v>2129.4</v>
      </c>
      <c r="O32" s="338">
        <f>'[3]Salários YTD'!O32</f>
        <v>2129.4</v>
      </c>
      <c r="P32" s="338">
        <f>'[3]Salários YTD'!P32</f>
        <v>2129.4</v>
      </c>
      <c r="Q32" s="349">
        <f t="shared" si="1"/>
        <v>23715.480000000003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840</v>
      </c>
      <c r="L33" s="338">
        <f>'[3]Salários YTD'!L33</f>
        <v>840</v>
      </c>
      <c r="M33" s="338">
        <f>'[3]Salários YTD'!M33</f>
        <v>840</v>
      </c>
      <c r="N33" s="338">
        <f>'[3]Salários YTD'!N33</f>
        <v>840</v>
      </c>
      <c r="O33" s="338">
        <f>'[3]Salários YTD'!O33</f>
        <v>840</v>
      </c>
      <c r="P33" s="338">
        <f>'[3]Salários YTD'!P33</f>
        <v>840</v>
      </c>
      <c r="Q33" s="349">
        <f t="shared" si="1"/>
        <v>9960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231</v>
      </c>
      <c r="L34" s="338">
        <f>'[3]Salários YTD'!L34</f>
        <v>231</v>
      </c>
      <c r="M34" s="338">
        <f>'[3]Salários YTD'!M34</f>
        <v>231</v>
      </c>
      <c r="N34" s="338">
        <f>'[3]Salários YTD'!N34</f>
        <v>231</v>
      </c>
      <c r="O34" s="338">
        <f>'[3]Salários YTD'!O34</f>
        <v>231</v>
      </c>
      <c r="P34" s="338">
        <f>'[3]Salários YTD'!P34</f>
        <v>231</v>
      </c>
      <c r="Q34" s="349">
        <f t="shared" si="1"/>
        <v>2750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29.7</v>
      </c>
      <c r="N35" s="338">
        <f>'[3]Salários YTD'!N35</f>
        <v>29.7</v>
      </c>
      <c r="O35" s="338">
        <f>'[3]Salários YTD'!O35</f>
        <v>29.7</v>
      </c>
      <c r="P35" s="338">
        <f>'[3]Salários YTD'!P35</f>
        <v>29.7</v>
      </c>
      <c r="Q35" s="349">
        <f t="shared" si="1"/>
        <v>356.39999999999992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646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1050</v>
      </c>
      <c r="P38" s="338">
        <f>'[3]Salários YTD'!P38</f>
        <v>1050</v>
      </c>
      <c r="Q38" s="349">
        <f t="shared" si="1"/>
        <v>2100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2802.75</v>
      </c>
      <c r="L39" s="344">
        <f t="shared" ref="L39" si="31">SUM(L40:L47)</f>
        <v>2802.75</v>
      </c>
      <c r="M39" s="344">
        <f t="shared" ref="M39" si="32">SUM(M40:M47)</f>
        <v>2802.75</v>
      </c>
      <c r="N39" s="344">
        <f t="shared" ref="N39" si="33">SUM(N40:N47)</f>
        <v>2802.75</v>
      </c>
      <c r="O39" s="344">
        <f t="shared" ref="O39" si="34">SUM(O40:O47)</f>
        <v>3702.75</v>
      </c>
      <c r="P39" s="344">
        <f t="shared" ref="P39" si="35">SUM(P40:P47)</f>
        <v>3702.75</v>
      </c>
      <c r="Q39" s="345">
        <f t="shared" si="1"/>
        <v>37270.229999999996</v>
      </c>
    </row>
    <row r="40" spans="4:17" outlineLevel="1">
      <c r="D40" s="350" t="s">
        <v>645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840</v>
      </c>
      <c r="L41" s="338">
        <f>'[3]Salários YTD'!L41</f>
        <v>840</v>
      </c>
      <c r="M41" s="338">
        <f>'[3]Salários YTD'!M41</f>
        <v>840</v>
      </c>
      <c r="N41" s="338">
        <f>'[3]Salários YTD'!N41</f>
        <v>840</v>
      </c>
      <c r="O41" s="338">
        <f>'[3]Salários YTD'!O41</f>
        <v>840</v>
      </c>
      <c r="P41" s="338">
        <f>'[3]Salários YTD'!P41</f>
        <v>840</v>
      </c>
      <c r="Q41" s="349">
        <f t="shared" si="1"/>
        <v>9960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231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2750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638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646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642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881</v>
      </c>
      <c r="L48" s="344">
        <f t="shared" si="36"/>
        <v>0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10380.58</v>
      </c>
    </row>
    <row r="49" spans="4:17" hidden="1" outlineLevel="1">
      <c r="D49" s="350" t="s">
        <v>645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650</v>
      </c>
      <c r="L50" s="338">
        <f>'[3]Salários YTD'!L50</f>
        <v>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8972.58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231</v>
      </c>
      <c r="L51" s="338">
        <f>'[3]Salários YTD'!L51</f>
        <v>0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1408</v>
      </c>
    </row>
    <row r="52" spans="4:17" hidden="1" outlineLevel="1">
      <c r="D52" s="350" t="s">
        <v>638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643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881</v>
      </c>
      <c r="L53" s="344">
        <f t="shared" si="37"/>
        <v>0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10380.58</v>
      </c>
    </row>
    <row r="54" spans="4:17" hidden="1" outlineLevel="1">
      <c r="D54" s="350" t="s">
        <v>645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650</v>
      </c>
      <c r="L55" s="338">
        <f>'[3]Salários YTD'!L55</f>
        <v>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8972.58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231</v>
      </c>
      <c r="L56" s="338">
        <f>'[3]Salários YTD'!L56</f>
        <v>0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1408</v>
      </c>
    </row>
    <row r="57" spans="4:17" hidden="1" outlineLevel="1">
      <c r="D57" s="350" t="s">
        <v>638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26251.67</v>
      </c>
      <c r="L58" s="346">
        <f t="shared" si="38"/>
        <v>20989.67</v>
      </c>
      <c r="M58" s="346">
        <f t="shared" si="38"/>
        <v>26589.67</v>
      </c>
      <c r="N58" s="346">
        <f t="shared" si="38"/>
        <v>20989.67</v>
      </c>
      <c r="O58" s="346">
        <f t="shared" si="38"/>
        <v>28944.67</v>
      </c>
      <c r="P58" s="346">
        <f t="shared" si="38"/>
        <v>28944.67</v>
      </c>
      <c r="Q58" s="347">
        <f>SUM(E58:P58)</f>
        <v>308926.83999999991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2" t="s">
        <v>191</v>
      </c>
      <c r="B1" s="402"/>
      <c r="C1" s="402"/>
      <c r="D1" s="402"/>
      <c r="E1" s="402"/>
      <c r="F1" s="402"/>
      <c r="G1" s="402"/>
      <c r="H1" s="402"/>
      <c r="I1" s="402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1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1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1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1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1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1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1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1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1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1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1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1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1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1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1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1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1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1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1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1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1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1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1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1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1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1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1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1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1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1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1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1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1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1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1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1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1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1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1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1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1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1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1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1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1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1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1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1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1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1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1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1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1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1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1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1:I1"/>
    <mergeCell ref="A3:A7"/>
    <mergeCell ref="A8:A12"/>
    <mergeCell ref="A13:A17"/>
    <mergeCell ref="A18:A22"/>
    <mergeCell ref="A48:A52"/>
    <mergeCell ref="A53:A57"/>
    <mergeCell ref="A23:A27"/>
    <mergeCell ref="A28:A32"/>
    <mergeCell ref="A33:A37"/>
    <mergeCell ref="A38:A42"/>
    <mergeCell ref="A43:A4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G35" sqref="G35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3" t="s">
        <v>698</v>
      </c>
      <c r="B1" s="403"/>
      <c r="C1" s="403"/>
      <c r="D1" s="403"/>
      <c r="E1" s="403"/>
      <c r="F1" s="403"/>
      <c r="G1" s="403"/>
      <c r="I1" s="369">
        <f ca="1">TODAY()</f>
        <v>46195</v>
      </c>
      <c r="J1" s="370">
        <f ca="1">YEAR(I1)</f>
        <v>2026</v>
      </c>
    </row>
    <row r="3" spans="1:10" ht="21.75" customHeight="1">
      <c r="A3" s="404" t="s">
        <v>699</v>
      </c>
      <c r="B3" s="404"/>
      <c r="C3" s="404"/>
    </row>
    <row r="4" spans="1:10" ht="18" customHeight="1">
      <c r="A4" s="353" t="s">
        <v>714</v>
      </c>
      <c r="B4" s="354">
        <f>Projeção!Q61</f>
        <v>986594.66664889874</v>
      </c>
    </row>
    <row r="5" spans="1:10" ht="18" customHeight="1">
      <c r="A5" s="353" t="s">
        <v>700</v>
      </c>
      <c r="B5" s="355">
        <v>0.25</v>
      </c>
    </row>
    <row r="6" spans="1:10" ht="18" customHeight="1">
      <c r="A6" s="353" t="s">
        <v>716</v>
      </c>
      <c r="B6" s="355">
        <v>0.3</v>
      </c>
    </row>
    <row r="7" spans="1:10" ht="18" customHeight="1">
      <c r="A7" s="353" t="s">
        <v>701</v>
      </c>
      <c r="B7" s="355">
        <v>0.05</v>
      </c>
    </row>
    <row r="8" spans="1:10" ht="18" customHeight="1">
      <c r="A8" s="353" t="s">
        <v>702</v>
      </c>
      <c r="B8" s="355">
        <f>Projeção!R61</f>
        <v>0.36437205042734933</v>
      </c>
    </row>
    <row r="10" spans="1:10" ht="21.75" customHeight="1">
      <c r="A10" s="404" t="s">
        <v>703</v>
      </c>
      <c r="B10" s="404"/>
      <c r="C10" s="404"/>
      <c r="D10" s="404"/>
      <c r="E10" s="404"/>
      <c r="F10" s="404"/>
      <c r="G10" s="404"/>
    </row>
    <row r="11" spans="1:10" ht="19.5" customHeight="1">
      <c r="A11" s="356" t="s">
        <v>704</v>
      </c>
      <c r="B11" s="356">
        <f ca="1">J1+1</f>
        <v>2027</v>
      </c>
      <c r="C11" s="356">
        <f ca="1">B11+1</f>
        <v>2028</v>
      </c>
      <c r="D11" s="356">
        <f t="shared" ref="D11:F11" ca="1" si="0">C11+1</f>
        <v>2029</v>
      </c>
      <c r="E11" s="356">
        <f t="shared" ca="1" si="0"/>
        <v>2030</v>
      </c>
      <c r="F11" s="356">
        <f t="shared" ca="1" si="0"/>
        <v>2031</v>
      </c>
      <c r="G11" s="356" t="s">
        <v>705</v>
      </c>
    </row>
    <row r="12" spans="1:10" ht="15" customHeight="1">
      <c r="A12" s="357" t="s">
        <v>706</v>
      </c>
      <c r="B12" s="358">
        <f>B4*(1+B6)</f>
        <v>1282573.0666435685</v>
      </c>
      <c r="C12" s="358">
        <f>B12*(1+B6)</f>
        <v>1667344.9866366391</v>
      </c>
      <c r="D12" s="358">
        <f>C12*(1+B6)</f>
        <v>2167548.4826276307</v>
      </c>
      <c r="E12" s="358">
        <f>D12*(1+B6)</f>
        <v>2817813.02741592</v>
      </c>
      <c r="F12" s="358">
        <f>E12*(1+B6)</f>
        <v>3663156.935640696</v>
      </c>
      <c r="G12" s="359" t="s">
        <v>707</v>
      </c>
    </row>
    <row r="13" spans="1:10" ht="15" customHeight="1">
      <c r="A13" s="360" t="s">
        <v>708</v>
      </c>
      <c r="B13" s="361">
        <f>B12*B8</f>
        <v>467333.77811581042</v>
      </c>
      <c r="C13" s="361">
        <f>C12*B8</f>
        <v>607533.91155055352</v>
      </c>
      <c r="D13" s="361">
        <f>D12*B8</f>
        <v>789794.08501571952</v>
      </c>
      <c r="E13" s="361">
        <f>E12*B8</f>
        <v>1026732.3105204355</v>
      </c>
      <c r="F13" s="361">
        <f>F12*B8</f>
        <v>1334752.0036765661</v>
      </c>
      <c r="G13" s="361">
        <f>F13*(1+B7)/(B5-B7)</f>
        <v>7007448.0193019714</v>
      </c>
    </row>
    <row r="14" spans="1:10" ht="15" customHeight="1">
      <c r="A14" s="357" t="s">
        <v>709</v>
      </c>
      <c r="B14" s="362">
        <f>1/(1+B5)^1</f>
        <v>0.8</v>
      </c>
      <c r="C14" s="362">
        <f>1/(1+B5)^2</f>
        <v>0.64</v>
      </c>
      <c r="D14" s="362">
        <f>1/(1+B5)^3</f>
        <v>0.51200000000000001</v>
      </c>
      <c r="E14" s="362">
        <f>1/(1+B5)^4</f>
        <v>0.40960000000000002</v>
      </c>
      <c r="F14" s="362">
        <f>1/(1+B5)^5</f>
        <v>0.32768000000000003</v>
      </c>
      <c r="G14" s="362">
        <f>1/(1+B5)^5</f>
        <v>0.32768000000000003</v>
      </c>
    </row>
    <row r="15" spans="1:10" ht="15" customHeight="1">
      <c r="A15" s="363" t="s">
        <v>710</v>
      </c>
      <c r="B15" s="364">
        <f t="shared" ref="B15:G15" si="1">B13*B14</f>
        <v>373867.02249264834</v>
      </c>
      <c r="C15" s="364">
        <f t="shared" si="1"/>
        <v>388821.70339235425</v>
      </c>
      <c r="D15" s="364">
        <f t="shared" si="1"/>
        <v>404374.57152804843</v>
      </c>
      <c r="E15" s="364">
        <f t="shared" si="1"/>
        <v>420549.55438917037</v>
      </c>
      <c r="F15" s="364">
        <f t="shared" si="1"/>
        <v>437371.53656473721</v>
      </c>
      <c r="G15" s="364">
        <f t="shared" si="1"/>
        <v>2296200.5669648703</v>
      </c>
    </row>
    <row r="18" spans="1:7" ht="21.75" customHeight="1">
      <c r="A18" s="405" t="s">
        <v>717</v>
      </c>
      <c r="B18" s="405"/>
      <c r="C18" s="405"/>
      <c r="D18" s="405"/>
      <c r="E18" s="405"/>
      <c r="F18" s="405"/>
      <c r="G18" s="405"/>
    </row>
    <row r="19" spans="1:7" ht="28" customHeight="1">
      <c r="A19" s="360" t="s">
        <v>711</v>
      </c>
      <c r="B19" s="361">
        <f>SUM(B15:F15)</f>
        <v>2024984.3883669586</v>
      </c>
    </row>
    <row r="20" spans="1:7" ht="18" customHeight="1">
      <c r="A20" s="360" t="s">
        <v>712</v>
      </c>
      <c r="B20" s="361">
        <f>G15</f>
        <v>2296200.5669648703</v>
      </c>
    </row>
    <row r="21" spans="1:7" ht="18" customHeight="1">
      <c r="A21" s="363" t="s">
        <v>713</v>
      </c>
      <c r="B21" s="364">
        <f>B19+B20</f>
        <v>4321184.9553318284</v>
      </c>
      <c r="D21" s="365"/>
    </row>
    <row r="22" spans="1:7" ht="18" customHeight="1">
      <c r="A22" s="357" t="s">
        <v>28</v>
      </c>
      <c r="B22" s="368">
        <f>Projeção!P63</f>
        <v>429472.03241872747</v>
      </c>
    </row>
    <row r="23" spans="1:7">
      <c r="A23" s="357" t="s">
        <v>486</v>
      </c>
      <c r="B23" s="368">
        <v>-550000</v>
      </c>
    </row>
    <row r="24" spans="1:7">
      <c r="A24" s="363" t="s">
        <v>715</v>
      </c>
      <c r="B24" s="364">
        <f>B21+B22+B23</f>
        <v>4200656.9877505563</v>
      </c>
      <c r="C24" s="366"/>
      <c r="D24" s="366"/>
      <c r="E24" s="366"/>
      <c r="F24" s="366"/>
      <c r="G24" s="366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2026-06-22T14:38:07Z</dcterms:modified>
  <dc:language>en-US</dc:language>
</cp:coreProperties>
</file>